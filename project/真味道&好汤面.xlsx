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真味道" sheetId="4" r:id="rId1"/>
    <sheet name="好汤面" sheetId="5" r:id="rId2"/>
    <sheet name="1倍半" sheetId="2" r:id="rId3"/>
    <sheet name="目标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5" l="1"/>
  <c r="J12" i="5"/>
  <c r="I12" i="5"/>
  <c r="K11" i="5"/>
  <c r="J11" i="5"/>
  <c r="I11" i="5"/>
  <c r="K10" i="5"/>
  <c r="J10" i="5"/>
  <c r="I10" i="5"/>
  <c r="K9" i="5"/>
  <c r="J9" i="5"/>
  <c r="I9" i="5"/>
  <c r="K8" i="5"/>
  <c r="J8" i="5"/>
  <c r="I8" i="5"/>
  <c r="K7" i="5"/>
  <c r="J7" i="5"/>
  <c r="I7" i="5"/>
  <c r="K6" i="5"/>
  <c r="J6" i="5"/>
  <c r="I6" i="5"/>
  <c r="K5" i="5"/>
  <c r="J5" i="5"/>
  <c r="I5" i="5"/>
  <c r="K4" i="5"/>
  <c r="J4" i="5"/>
  <c r="I4" i="5"/>
  <c r="D21" i="4" l="1"/>
  <c r="D23" i="4" s="1"/>
  <c r="D25" i="4" s="1"/>
  <c r="H6" i="2" l="1"/>
  <c r="D10" i="3" l="1"/>
  <c r="E10" i="3"/>
  <c r="F10" i="3"/>
  <c r="G10" i="3"/>
  <c r="H10" i="3"/>
  <c r="C11" i="3"/>
  <c r="C12" i="3"/>
  <c r="C10" i="3" l="1"/>
  <c r="H4" i="3"/>
  <c r="G4" i="3"/>
  <c r="F4" i="3"/>
  <c r="E4" i="3"/>
  <c r="D4" i="3"/>
  <c r="C6" i="3"/>
  <c r="C5" i="3"/>
  <c r="C4" i="3" l="1"/>
  <c r="G6" i="2"/>
  <c r="F6" i="2" l="1"/>
  <c r="E6" i="2" l="1"/>
  <c r="D6" i="2"/>
</calcChain>
</file>

<file path=xl/sharedStrings.xml><?xml version="1.0" encoding="utf-8"?>
<sst xmlns="http://schemas.openxmlformats.org/spreadsheetml/2006/main" count="70" uniqueCount="59">
  <si>
    <t>23Q1</t>
    <phoneticPr fontId="2" type="noConversion"/>
  </si>
  <si>
    <t>24Q1</t>
    <phoneticPr fontId="2" type="noConversion"/>
  </si>
  <si>
    <t>1倍半袋</t>
    <phoneticPr fontId="2" type="noConversion"/>
  </si>
  <si>
    <t>1袋半</t>
    <phoneticPr fontId="2" type="noConversion"/>
  </si>
  <si>
    <t>KJ比</t>
    <phoneticPr fontId="2" type="noConversion"/>
  </si>
  <si>
    <t>管理目标</t>
  </si>
  <si>
    <t>黑龙江</t>
  </si>
  <si>
    <t>哈尔滨</t>
  </si>
  <si>
    <t>黑东</t>
  </si>
  <si>
    <t>黑西</t>
  </si>
  <si>
    <t>黑中</t>
  </si>
  <si>
    <t>电商</t>
  </si>
  <si>
    <t>真味道</t>
  </si>
  <si>
    <t>真味道袋</t>
  </si>
  <si>
    <t>真味道桶</t>
  </si>
  <si>
    <t>管理目标</t>
    <phoneticPr fontId="2" type="noConversion"/>
  </si>
  <si>
    <t>24Q2</t>
    <phoneticPr fontId="2" type="noConversion"/>
  </si>
  <si>
    <t>23Q2</t>
    <phoneticPr fontId="2" type="noConversion"/>
  </si>
  <si>
    <t>2024.08.07 10:10:04</t>
  </si>
  <si>
    <r>
      <t>1-7</t>
    </r>
    <r>
      <rPr>
        <sz val="8"/>
        <color rgb="FFFF0000"/>
        <rFont val="宋体"/>
        <family val="3"/>
        <charset val="134"/>
      </rPr>
      <t>月</t>
    </r>
    <phoneticPr fontId="5" type="noConversion"/>
  </si>
  <si>
    <t>实际出货数量（+非领搭赠）</t>
  </si>
  <si>
    <t>产品-口味 | 产品-规格</t>
  </si>
  <si>
    <t>经典袋</t>
  </si>
  <si>
    <t>经典桶</t>
  </si>
  <si>
    <t>总体结果</t>
  </si>
  <si>
    <t>红烧牛肉</t>
  </si>
  <si>
    <t>香辣牛肉</t>
  </si>
  <si>
    <t>酸菜牛肉</t>
  </si>
  <si>
    <t>鲜虾鱼板</t>
  </si>
  <si>
    <t>酸辣牛肉</t>
  </si>
  <si>
    <t>小鸡炖蘑菇</t>
  </si>
  <si>
    <t>红烧排骨</t>
  </si>
  <si>
    <t>西红柿打卤</t>
  </si>
  <si>
    <t>藤椒牛肉面</t>
  </si>
  <si>
    <t>老母鸡汤</t>
  </si>
  <si>
    <t>牛尾汤</t>
  </si>
  <si>
    <t>猪骨汤</t>
  </si>
  <si>
    <t>番茄鸡蛋牛肉</t>
  </si>
  <si>
    <t>酸香爽金汤肥牛面</t>
  </si>
  <si>
    <t>双萝卜牛腩面</t>
  </si>
  <si>
    <t>红辣酸占比</t>
    <phoneticPr fontId="5" type="noConversion"/>
  </si>
  <si>
    <t>8月经典桶袋目标</t>
    <phoneticPr fontId="5" type="noConversion"/>
  </si>
  <si>
    <t>8月经典红辣酸预估出货</t>
    <phoneticPr fontId="5" type="noConversion"/>
  </si>
  <si>
    <t>8月真味道目标</t>
    <phoneticPr fontId="5" type="noConversion"/>
  </si>
  <si>
    <t>占比</t>
    <phoneticPr fontId="5" type="noConversion"/>
  </si>
  <si>
    <t>渠道/品牌</t>
  </si>
  <si>
    <t>好汤面</t>
  </si>
  <si>
    <t>汤好喝</t>
  </si>
  <si>
    <t>TT</t>
  </si>
  <si>
    <t>MT</t>
  </si>
  <si>
    <t>大卖场</t>
  </si>
  <si>
    <t>超市</t>
  </si>
  <si>
    <t>小超</t>
  </si>
  <si>
    <r>
      <t>连锁</t>
    </r>
    <r>
      <rPr>
        <sz val="16"/>
        <color rgb="FF000000"/>
        <rFont val="Arial"/>
        <family val="2"/>
      </rPr>
      <t>MT</t>
    </r>
  </si>
  <si>
    <t>MIT</t>
  </si>
  <si>
    <t>好汤面 - 汤好喝</t>
    <phoneticPr fontId="2" type="noConversion"/>
  </si>
  <si>
    <t>整体</t>
    <phoneticPr fontId="2" type="noConversion"/>
  </si>
  <si>
    <t>桶</t>
    <phoneticPr fontId="2" type="noConversion"/>
  </si>
  <si>
    <t>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</si>
</sst>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0.0"/>
    <numFmt numFmtId="177" formatCode="0.0%"/>
    <numFmt numFmtId="178" formatCode="#,##0.000;\-#,##0.000;#,##0.000;@"/>
    <numFmt numFmtId="179" formatCode="_ * #,##0.0_ ;_ * \-#,##0.0_ ;_ * &quot;-&quot;??_ ;_ @_ "/>
  </numFmts>
  <fonts count="1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6"/>
      <color theme="1"/>
      <name val="微软雅黑"/>
      <family val="2"/>
      <charset val="134"/>
    </font>
    <font>
      <sz val="8"/>
      <color rgb="FF000000"/>
      <name val="Arial"/>
      <family val="2"/>
    </font>
    <font>
      <sz val="10"/>
      <color theme="1"/>
      <name val="等线"/>
      <family val="3"/>
      <charset val="134"/>
      <scheme val="minor"/>
    </font>
    <font>
      <sz val="8"/>
      <color rgb="FFFF0000"/>
      <name val="Arial"/>
      <family val="2"/>
    </font>
    <font>
      <sz val="8"/>
      <color rgb="FFFF0000"/>
      <name val="宋体"/>
      <family val="3"/>
      <charset val="134"/>
    </font>
    <font>
      <b/>
      <sz val="18"/>
      <color rgb="FF000000"/>
      <name val="微软雅黑"/>
      <family val="2"/>
      <charset val="134"/>
    </font>
    <font>
      <sz val="16"/>
      <color rgb="FF000000"/>
      <name val="Arial"/>
      <family val="2"/>
    </font>
    <font>
      <b/>
      <sz val="16"/>
      <color rgb="FF0000FF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1"/>
      <color indexed="8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D1AAF4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dotted">
        <color rgb="FF808080"/>
      </right>
      <top style="thin">
        <color rgb="FF808080"/>
      </top>
      <bottom style="dotted">
        <color rgb="FF808080"/>
      </bottom>
      <diagonal/>
    </border>
    <border>
      <left style="dotted">
        <color rgb="FF808080"/>
      </left>
      <right style="dotted">
        <color rgb="FF808080"/>
      </right>
      <top style="thin">
        <color rgb="FF808080"/>
      </top>
      <bottom style="dotted">
        <color rgb="FF808080"/>
      </bottom>
      <diagonal/>
    </border>
    <border>
      <left style="dotted">
        <color rgb="FF808080"/>
      </left>
      <right style="thin">
        <color rgb="FF808080"/>
      </right>
      <top style="thin">
        <color rgb="FF808080"/>
      </top>
      <bottom style="dotted">
        <color rgb="FF808080"/>
      </bottom>
      <diagonal/>
    </border>
    <border>
      <left style="thin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dotted">
        <color rgb="FF808080"/>
      </left>
      <right style="thin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808080"/>
      </left>
      <right style="dotted">
        <color rgb="FF808080"/>
      </right>
      <top style="dotted">
        <color rgb="FF808080"/>
      </top>
      <bottom style="thin">
        <color rgb="FF80808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thin">
        <color rgb="FF808080"/>
      </bottom>
      <diagonal/>
    </border>
    <border>
      <left style="dotted">
        <color rgb="FF808080"/>
      </left>
      <right style="thin">
        <color rgb="FF808080"/>
      </right>
      <top style="dotted">
        <color rgb="FF808080"/>
      </top>
      <bottom style="thin">
        <color rgb="FF808080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176" fontId="3" fillId="0" borderId="5" xfId="0" applyNumberFormat="1" applyFont="1" applyBorder="1" applyAlignment="1">
      <alignment horizontal="right" vertical="center" wrapText="1" readingOrder="1"/>
    </xf>
    <xf numFmtId="176" fontId="3" fillId="0" borderId="6" xfId="0" applyNumberFormat="1" applyFont="1" applyBorder="1" applyAlignment="1">
      <alignment horizontal="right" vertical="center" wrapText="1" readingOrder="1"/>
    </xf>
    <xf numFmtId="176" fontId="4" fillId="0" borderId="5" xfId="0" applyNumberFormat="1" applyFont="1" applyBorder="1" applyAlignment="1">
      <alignment horizontal="right" vertical="center" wrapText="1" readingOrder="1"/>
    </xf>
    <xf numFmtId="176" fontId="4" fillId="0" borderId="6" xfId="0" applyNumberFormat="1" applyFont="1" applyBorder="1" applyAlignment="1">
      <alignment horizontal="right" vertical="center" wrapText="1" readingOrder="1"/>
    </xf>
    <xf numFmtId="176" fontId="4" fillId="0" borderId="8" xfId="0" applyNumberFormat="1" applyFont="1" applyBorder="1" applyAlignment="1">
      <alignment horizontal="right" vertical="center" wrapText="1" readingOrder="1"/>
    </xf>
    <xf numFmtId="176" fontId="4" fillId="0" borderId="9" xfId="0" applyNumberFormat="1" applyFont="1" applyBorder="1" applyAlignment="1">
      <alignment horizontal="right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177" fontId="0" fillId="0" borderId="0" xfId="1" applyNumberFormat="1" applyFont="1" applyAlignment="1"/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49" fontId="7" fillId="4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49" fontId="9" fillId="5" borderId="10" xfId="0" applyNumberFormat="1" applyFont="1" applyFill="1" applyBorder="1" applyAlignment="1">
      <alignment horizontal="right" vertical="center" wrapText="1"/>
    </xf>
    <xf numFmtId="49" fontId="7" fillId="5" borderId="10" xfId="0" applyNumberFormat="1" applyFont="1" applyFill="1" applyBorder="1" applyAlignment="1">
      <alignment horizontal="left" vertical="center" wrapText="1"/>
    </xf>
    <xf numFmtId="49" fontId="7" fillId="3" borderId="10" xfId="0" applyNumberFormat="1" applyFont="1" applyFill="1" applyBorder="1" applyAlignment="1">
      <alignment horizontal="left" vertical="center" wrapText="1"/>
    </xf>
    <xf numFmtId="178" fontId="7" fillId="4" borderId="10" xfId="0" applyNumberFormat="1" applyFont="1" applyFill="1" applyBorder="1" applyAlignment="1">
      <alignment horizontal="right" vertical="center" wrapText="1"/>
    </xf>
    <xf numFmtId="178" fontId="7" fillId="3" borderId="10" xfId="0" applyNumberFormat="1" applyFont="1" applyFill="1" applyBorder="1" applyAlignment="1">
      <alignment horizontal="right" vertical="center" wrapText="1"/>
    </xf>
    <xf numFmtId="178" fontId="7" fillId="6" borderId="10" xfId="0" applyNumberFormat="1" applyFont="1" applyFill="1" applyBorder="1" applyAlignment="1">
      <alignment horizontal="right" vertical="center" wrapText="1"/>
    </xf>
    <xf numFmtId="9" fontId="0" fillId="0" borderId="0" xfId="1" applyFont="1">
      <alignment vertical="center"/>
    </xf>
    <xf numFmtId="0" fontId="3" fillId="7" borderId="17" xfId="0" applyFont="1" applyFill="1" applyBorder="1" applyAlignment="1">
      <alignment horizontal="center" vertical="center" wrapText="1" readingOrder="1"/>
    </xf>
    <xf numFmtId="0" fontId="3" fillId="7" borderId="18" xfId="0" applyFont="1" applyFill="1" applyBorder="1" applyAlignment="1">
      <alignment horizontal="center" vertical="center" wrapText="1" readingOrder="1"/>
    </xf>
    <xf numFmtId="0" fontId="3" fillId="8" borderId="19" xfId="0" applyFont="1" applyFill="1" applyBorder="1" applyAlignment="1">
      <alignment horizontal="center" vertical="center" wrapText="1" readingOrder="1"/>
    </xf>
    <xf numFmtId="0" fontId="3" fillId="8" borderId="17" xfId="0" applyFont="1" applyFill="1" applyBorder="1" applyAlignment="1">
      <alignment horizontal="center" vertical="center" wrapText="1" readingOrder="1"/>
    </xf>
    <xf numFmtId="0" fontId="3" fillId="8" borderId="18" xfId="0" applyFont="1" applyFill="1" applyBorder="1" applyAlignment="1">
      <alignment horizontal="center" vertical="center" wrapText="1" readingOrder="1"/>
    </xf>
    <xf numFmtId="0" fontId="3" fillId="7" borderId="19" xfId="0" applyFont="1" applyFill="1" applyBorder="1" applyAlignment="1">
      <alignment horizontal="center" vertical="center" wrapText="1" readingOrder="1"/>
    </xf>
    <xf numFmtId="0" fontId="12" fillId="9" borderId="19" xfId="0" applyFont="1" applyFill="1" applyBorder="1" applyAlignment="1">
      <alignment horizontal="center" vertical="center" wrapText="1" readingOrder="1"/>
    </xf>
    <xf numFmtId="0" fontId="13" fillId="9" borderId="18" xfId="0" applyFont="1" applyFill="1" applyBorder="1" applyAlignment="1">
      <alignment horizontal="center" vertical="center" wrapText="1" readingOrder="1"/>
    </xf>
    <xf numFmtId="0" fontId="4" fillId="7" borderId="19" xfId="0" applyFont="1" applyFill="1" applyBorder="1" applyAlignment="1">
      <alignment horizontal="center" vertical="center" wrapText="1" readingOrder="1"/>
    </xf>
    <xf numFmtId="0" fontId="14" fillId="0" borderId="17" xfId="0" applyFont="1" applyBorder="1" applyAlignment="1">
      <alignment horizontal="center" vertical="center" wrapText="1" readingOrder="1"/>
    </xf>
    <xf numFmtId="0" fontId="12" fillId="7" borderId="19" xfId="0" applyFont="1" applyFill="1" applyBorder="1" applyAlignment="1">
      <alignment horizontal="center" vertical="center" wrapText="1" readingOrder="1"/>
    </xf>
    <xf numFmtId="0" fontId="4" fillId="7" borderId="20" xfId="0" applyFont="1" applyFill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 vertical="center" wrapText="1" readingOrder="1"/>
    </xf>
    <xf numFmtId="0" fontId="6" fillId="0" borderId="19" xfId="0" applyFont="1" applyBorder="1" applyAlignment="1">
      <alignment horizontal="center" vertical="center" wrapText="1" readingOrder="1"/>
    </xf>
    <xf numFmtId="0" fontId="15" fillId="9" borderId="17" xfId="0" applyFont="1" applyFill="1" applyBorder="1" applyAlignment="1">
      <alignment horizontal="center" vertical="center" wrapText="1" readingOrder="1"/>
    </xf>
    <xf numFmtId="0" fontId="15" fillId="9" borderId="18" xfId="0" applyFont="1" applyFill="1" applyBorder="1" applyAlignment="1">
      <alignment horizontal="center" vertical="center" wrapText="1" readingOrder="1"/>
    </xf>
    <xf numFmtId="0" fontId="15" fillId="9" borderId="19" xfId="0" applyFont="1" applyFill="1" applyBorder="1" applyAlignment="1">
      <alignment horizontal="center" vertical="center" wrapText="1" readingOrder="1"/>
    </xf>
    <xf numFmtId="0" fontId="15" fillId="0" borderId="17" xfId="0" applyFont="1" applyBorder="1" applyAlignment="1">
      <alignment horizontal="center" vertical="center" wrapText="1" readingOrder="1"/>
    </xf>
    <xf numFmtId="0" fontId="15" fillId="0" borderId="18" xfId="0" applyFont="1" applyBorder="1" applyAlignment="1">
      <alignment horizontal="center" vertical="center" wrapText="1" readingOrder="1"/>
    </xf>
    <xf numFmtId="0" fontId="15" fillId="0" borderId="19" xfId="0" applyFont="1" applyBorder="1" applyAlignment="1">
      <alignment horizontal="center" vertical="center" wrapText="1" readingOrder="1"/>
    </xf>
    <xf numFmtId="0" fontId="15" fillId="0" borderId="21" xfId="0" applyFont="1" applyBorder="1" applyAlignment="1">
      <alignment horizontal="center" vertical="center" wrapText="1" readingOrder="1"/>
    </xf>
    <xf numFmtId="0" fontId="15" fillId="0" borderId="22" xfId="0" applyFont="1" applyBorder="1" applyAlignment="1">
      <alignment horizontal="center" vertical="center" wrapText="1" readingOrder="1"/>
    </xf>
    <xf numFmtId="0" fontId="15" fillId="0" borderId="20" xfId="0" applyFont="1" applyBorder="1" applyAlignment="1">
      <alignment horizontal="center" vertical="center" wrapText="1" readingOrder="1"/>
    </xf>
    <xf numFmtId="0" fontId="13" fillId="0" borderId="19" xfId="0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center" vertical="center" wrapText="1" readingOrder="1"/>
    </xf>
    <xf numFmtId="0" fontId="13" fillId="0" borderId="18" xfId="0" applyFont="1" applyBorder="1" applyAlignment="1">
      <alignment horizontal="center" vertical="center" wrapText="1" readingOrder="1"/>
    </xf>
    <xf numFmtId="0" fontId="13" fillId="9" borderId="19" xfId="0" applyFont="1" applyFill="1" applyBorder="1" applyAlignment="1">
      <alignment horizontal="center" vertical="center" wrapText="1" readingOrder="1"/>
    </xf>
    <xf numFmtId="0" fontId="13" fillId="9" borderId="17" xfId="0" applyFont="1" applyFill="1" applyBorder="1" applyAlignment="1">
      <alignment horizontal="center" vertical="center" wrapText="1" readingOrder="1"/>
    </xf>
    <xf numFmtId="0" fontId="13" fillId="0" borderId="20" xfId="0" applyFont="1" applyBorder="1" applyAlignment="1">
      <alignment horizontal="center" vertical="center" wrapText="1" readingOrder="1"/>
    </xf>
    <xf numFmtId="0" fontId="13" fillId="0" borderId="21" xfId="0" applyFont="1" applyBorder="1" applyAlignment="1">
      <alignment horizontal="center" vertical="center" wrapText="1" readingOrder="1"/>
    </xf>
    <xf numFmtId="0" fontId="13" fillId="0" borderId="22" xfId="0" applyFont="1" applyBorder="1" applyAlignment="1">
      <alignment horizontal="center" vertical="center" wrapText="1" readingOrder="1"/>
    </xf>
    <xf numFmtId="0" fontId="14" fillId="9" borderId="18" xfId="0" applyFont="1" applyFill="1" applyBorder="1" applyAlignment="1">
      <alignment horizontal="center" vertical="center" wrapText="1" readingOrder="1"/>
    </xf>
    <xf numFmtId="0" fontId="14" fillId="0" borderId="18" xfId="0" applyFont="1" applyBorder="1" applyAlignment="1">
      <alignment horizontal="center" vertical="center" wrapText="1" readingOrder="1"/>
    </xf>
    <xf numFmtId="0" fontId="14" fillId="0" borderId="22" xfId="0" applyFont="1" applyBorder="1" applyAlignment="1">
      <alignment horizontal="center" vertical="center" wrapText="1" readingOrder="1"/>
    </xf>
    <xf numFmtId="0" fontId="3" fillId="10" borderId="1" xfId="0" applyFont="1" applyFill="1" applyBorder="1" applyAlignment="1">
      <alignment horizontal="center" vertical="center" wrapText="1" readingOrder="1"/>
    </xf>
    <xf numFmtId="0" fontId="3" fillId="10" borderId="2" xfId="0" applyFont="1" applyFill="1" applyBorder="1" applyAlignment="1">
      <alignment horizontal="center" vertical="center" wrapText="1" readingOrder="1"/>
    </xf>
    <xf numFmtId="0" fontId="3" fillId="10" borderId="3" xfId="0" applyFont="1" applyFill="1" applyBorder="1" applyAlignment="1">
      <alignment horizontal="center" vertical="center" wrapText="1" readingOrder="1"/>
    </xf>
    <xf numFmtId="0" fontId="3" fillId="10" borderId="4" xfId="0" applyFont="1" applyFill="1" applyBorder="1" applyAlignment="1">
      <alignment horizontal="center" vertical="center" wrapText="1" readingOrder="1"/>
    </xf>
    <xf numFmtId="0" fontId="3" fillId="10" borderId="7" xfId="0" applyFont="1" applyFill="1" applyBorder="1" applyAlignment="1">
      <alignment horizontal="center" vertical="center" wrapText="1" readingOrder="1"/>
    </xf>
    <xf numFmtId="179" fontId="3" fillId="0" borderId="5" xfId="2" applyNumberFormat="1" applyFont="1" applyBorder="1" applyAlignment="1">
      <alignment horizontal="right" vertical="center" wrapText="1" readingOrder="1"/>
    </xf>
    <xf numFmtId="179" fontId="3" fillId="0" borderId="6" xfId="2" applyNumberFormat="1" applyFont="1" applyBorder="1" applyAlignment="1">
      <alignment horizontal="right" vertical="center" wrapText="1" readingOrder="1"/>
    </xf>
    <xf numFmtId="179" fontId="4" fillId="0" borderId="5" xfId="2" applyNumberFormat="1" applyFont="1" applyBorder="1" applyAlignment="1">
      <alignment horizontal="right" vertical="center" wrapText="1" readingOrder="1"/>
    </xf>
    <xf numFmtId="179" fontId="4" fillId="0" borderId="6" xfId="2" applyNumberFormat="1" applyFont="1" applyBorder="1" applyAlignment="1">
      <alignment horizontal="right" vertical="center" wrapText="1" readingOrder="1"/>
    </xf>
    <xf numFmtId="179" fontId="3" fillId="0" borderId="8" xfId="2" applyNumberFormat="1" applyFont="1" applyBorder="1" applyAlignment="1">
      <alignment horizontal="right" vertical="center" wrapText="1" readingOrder="1"/>
    </xf>
    <xf numFmtId="179" fontId="4" fillId="0" borderId="8" xfId="2" applyNumberFormat="1" applyFont="1" applyBorder="1" applyAlignment="1">
      <alignment horizontal="right" vertical="center" wrapText="1" readingOrder="1"/>
    </xf>
    <xf numFmtId="179" fontId="4" fillId="0" borderId="9" xfId="2" applyNumberFormat="1" applyFont="1" applyBorder="1" applyAlignment="1">
      <alignment horizontal="right" vertical="center" wrapText="1" readingOrder="1"/>
    </xf>
    <xf numFmtId="0" fontId="11" fillId="7" borderId="11" xfId="0" applyFont="1" applyFill="1" applyBorder="1" applyAlignment="1">
      <alignment horizontal="center" vertical="center" wrapText="1" readingOrder="1"/>
    </xf>
    <xf numFmtId="0" fontId="11" fillId="7" borderId="12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7" borderId="14" xfId="0" applyFont="1" applyFill="1" applyBorder="1" applyAlignment="1">
      <alignment horizontal="center" vertical="center" wrapText="1" readingOrder="1"/>
    </xf>
    <xf numFmtId="0" fontId="3" fillId="7" borderId="15" xfId="0" applyFont="1" applyFill="1" applyBorder="1" applyAlignment="1">
      <alignment horizontal="center" vertical="center" wrapText="1" readingOrder="1"/>
    </xf>
    <xf numFmtId="0" fontId="3" fillId="8" borderId="16" xfId="0" applyFont="1" applyFill="1" applyBorder="1" applyAlignment="1">
      <alignment horizontal="center" vertical="center" wrapText="1" readingOrder="1"/>
    </xf>
    <xf numFmtId="0" fontId="3" fillId="8" borderId="14" xfId="0" applyFont="1" applyFill="1" applyBorder="1" applyAlignment="1">
      <alignment horizontal="center" vertical="center" wrapText="1" readingOrder="1"/>
    </xf>
    <xf numFmtId="0" fontId="3" fillId="8" borderId="15" xfId="0" applyFont="1" applyFill="1" applyBorder="1" applyAlignment="1">
      <alignment horizontal="center" vertical="center" wrapText="1" readingOrder="1"/>
    </xf>
  </cellXfs>
  <cellStyles count="4">
    <cellStyle name="百分比" xfId="1" builtinId="5"/>
    <cellStyle name="常规" xfId="0" builtinId="0"/>
    <cellStyle name="千位分隔" xfId="2" builtinId="3"/>
    <cellStyle name="千位分隔 5" xfId="3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C39BE1"/>
      <color rgb="FFC7A1E3"/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82031824146981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'1倍半'!$A$4</c:f>
              <c:strCache>
                <c:ptCount val="1"/>
                <c:pt idx="0">
                  <c:v>1倍半袋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5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'1倍半'!$B$3:$H$3</c:f>
              <c:strCache>
                <c:ptCount val="7"/>
                <c:pt idx="0">
                  <c:v>23Q1</c:v>
                </c:pt>
                <c:pt idx="1">
                  <c:v>23Q2</c:v>
                </c:pt>
                <c:pt idx="2">
                  <c:v>24Q1</c:v>
                </c:pt>
                <c:pt idx="3">
                  <c:v>24Q2</c:v>
                </c:pt>
                <c:pt idx="4">
                  <c:v>2404</c:v>
                </c:pt>
                <c:pt idx="5">
                  <c:v>2405</c:v>
                </c:pt>
                <c:pt idx="6">
                  <c:v>2406</c:v>
                </c:pt>
              </c:strCache>
            </c:strRef>
          </c:cat>
          <c:val>
            <c:numRef>
              <c:f>'1倍半'!$B$4:$H$4</c:f>
              <c:numCache>
                <c:formatCode>General</c:formatCode>
                <c:ptCount val="7"/>
                <c:pt idx="0">
                  <c:v>133</c:v>
                </c:pt>
                <c:pt idx="1">
                  <c:v>64</c:v>
                </c:pt>
                <c:pt idx="2">
                  <c:v>93</c:v>
                </c:pt>
                <c:pt idx="3" formatCode="0">
                  <c:v>70</c:v>
                </c:pt>
                <c:pt idx="4" formatCode="0">
                  <c:v>71.172499999999999</c:v>
                </c:pt>
                <c:pt idx="5" formatCode="0">
                  <c:v>78.407250000000005</c:v>
                </c:pt>
                <c:pt idx="6" formatCode="0">
                  <c:v>60.35125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A-46B5-9459-C68890EF1873}"/>
            </c:ext>
          </c:extLst>
        </c:ser>
        <c:ser>
          <c:idx val="1"/>
          <c:order val="1"/>
          <c:tx>
            <c:strRef>
              <c:f>'1倍半'!$A$5</c:f>
              <c:strCache>
                <c:ptCount val="1"/>
                <c:pt idx="0">
                  <c:v>1袋半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5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'1倍半'!$B$3:$H$3</c:f>
              <c:strCache>
                <c:ptCount val="7"/>
                <c:pt idx="0">
                  <c:v>23Q1</c:v>
                </c:pt>
                <c:pt idx="1">
                  <c:v>23Q2</c:v>
                </c:pt>
                <c:pt idx="2">
                  <c:v>24Q1</c:v>
                </c:pt>
                <c:pt idx="3">
                  <c:v>24Q2</c:v>
                </c:pt>
                <c:pt idx="4">
                  <c:v>2404</c:v>
                </c:pt>
                <c:pt idx="5">
                  <c:v>2405</c:v>
                </c:pt>
                <c:pt idx="6">
                  <c:v>2406</c:v>
                </c:pt>
              </c:strCache>
            </c:strRef>
          </c:cat>
          <c:val>
            <c:numRef>
              <c:f>'1倍半'!$B$5:$H$5</c:f>
              <c:numCache>
                <c:formatCode>General</c:formatCode>
                <c:ptCount val="7"/>
                <c:pt idx="0">
                  <c:v>179</c:v>
                </c:pt>
                <c:pt idx="1">
                  <c:v>103</c:v>
                </c:pt>
                <c:pt idx="2">
                  <c:v>165</c:v>
                </c:pt>
                <c:pt idx="3" formatCode="0">
                  <c:v>150</c:v>
                </c:pt>
                <c:pt idx="4" formatCode="0">
                  <c:v>154.68200000000002</c:v>
                </c:pt>
                <c:pt idx="5" formatCode="0">
                  <c:v>142.08150000000001</c:v>
                </c:pt>
                <c:pt idx="6" formatCode="0">
                  <c:v>154.11699999999999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A-46B5-9459-C68890EF18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500224"/>
        <c:axId val="126530688"/>
      </c:barChart>
      <c:lineChart>
        <c:grouping val="standard"/>
        <c:varyColors val="0"/>
        <c:ser>
          <c:idx val="2"/>
          <c:order val="2"/>
          <c:tx>
            <c:strRef>
              <c:f>'1倍半'!$A$6</c:f>
              <c:strCache>
                <c:ptCount val="1"/>
                <c:pt idx="0">
                  <c:v>KJ比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5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379-4E4D-AA83-6111E01889C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5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379-4E4D-AA83-6111E01889CB}"/>
                </c:ext>
              </c:extLst>
            </c:dLbl>
            <c:dLbl>
              <c:idx val="3"/>
              <c:layout>
                <c:manualLayout>
                  <c:x val="-6.5919639214177095E-2"/>
                  <c:y val="-6.58944184347815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5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79-4E4D-AA83-6111E01889C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5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379-4E4D-AA83-6111E01889C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500" b="1" i="0" u="none" strike="noStrike" kern="1200" baseline="0">
                      <a:solidFill>
                        <a:srgbClr val="0000FF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379-4E4D-AA83-6111E01889C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15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379-4E4D-AA83-6111E01889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5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'1倍半'!$B$3:$H$3</c:f>
              <c:strCache>
                <c:ptCount val="7"/>
                <c:pt idx="0">
                  <c:v>23Q1</c:v>
                </c:pt>
                <c:pt idx="1">
                  <c:v>23Q2</c:v>
                </c:pt>
                <c:pt idx="2">
                  <c:v>24Q1</c:v>
                </c:pt>
                <c:pt idx="3">
                  <c:v>24Q2</c:v>
                </c:pt>
                <c:pt idx="4">
                  <c:v>2404</c:v>
                </c:pt>
                <c:pt idx="5">
                  <c:v>2405</c:v>
                </c:pt>
                <c:pt idx="6">
                  <c:v>2406</c:v>
                </c:pt>
              </c:strCache>
            </c:strRef>
          </c:cat>
          <c:val>
            <c:numRef>
              <c:f>'1倍半'!$B$6:$H$6</c:f>
              <c:numCache>
                <c:formatCode>0.0%</c:formatCode>
                <c:ptCount val="7"/>
                <c:pt idx="0">
                  <c:v>0.48</c:v>
                </c:pt>
                <c:pt idx="1">
                  <c:v>0.39</c:v>
                </c:pt>
                <c:pt idx="2">
                  <c:v>0.36046511627906974</c:v>
                </c:pt>
                <c:pt idx="3">
                  <c:v>0.31818181818181818</c:v>
                </c:pt>
                <c:pt idx="4">
                  <c:v>0.31512544580692431</c:v>
                </c:pt>
                <c:pt idx="5">
                  <c:v>0.35560657856693367</c:v>
                </c:pt>
                <c:pt idx="6">
                  <c:v>0.28139946122561266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0A-46B5-9459-C68890EF18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532224"/>
        <c:axId val="126534016"/>
      </c:lineChart>
      <c:catAx>
        <c:axId val="12650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6530688"/>
        <c:crosses val="autoZero"/>
        <c:auto val="1"/>
        <c:lblAlgn val="ctr"/>
        <c:lblOffset val="100"/>
        <c:noMultiLvlLbl val="0"/>
      </c:catAx>
      <c:valAx>
        <c:axId val="12653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6500224"/>
        <c:crosses val="autoZero"/>
        <c:crossBetween val="between"/>
      </c:valAx>
      <c:catAx>
        <c:axId val="126532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534016"/>
        <c:crosses val="autoZero"/>
        <c:auto val="1"/>
        <c:lblAlgn val="ctr"/>
        <c:lblOffset val="100"/>
        <c:noMultiLvlLbl val="0"/>
      </c:catAx>
      <c:valAx>
        <c:axId val="12653401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653222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948337707786501"/>
          <c:y val="0.91174540682414695"/>
          <c:w val="0.48270624164544501"/>
          <c:h val="8.8254593175853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300" b="0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1D2975"/>
      </a:solidFill>
      <a:round/>
    </a:ln>
    <a:effectLst/>
  </c:spPr>
  <c:txPr>
    <a:bodyPr/>
    <a:lstStyle/>
    <a:p>
      <a:pPr>
        <a:defRPr lang="zh-CN" sz="1000">
          <a:solidFill>
            <a:schemeClr val="tx1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0</xdr:rowOff>
    </xdr:from>
    <xdr:to>
      <xdr:col>15</xdr:col>
      <xdr:colOff>644769</xdr:colOff>
      <xdr:row>35</xdr:row>
      <xdr:rowOff>14572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hyperlink" Target="http://pib.kbh.pvt:8080/irj/servlet/prt/portal/prtroot/pcd!3aportal_content!2fcom.sap.pct!2fplatform_add_ons!2fcom.sap.ip.bi!2fiViews!2fcom.sap.ip.bi.bex?BOOKMARK=006EJI0272786JEVSFCN4R75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showGridLines="0" workbookViewId="0">
      <selection activeCell="H12" sqref="H12"/>
    </sheetView>
  </sheetViews>
  <sheetFormatPr defaultRowHeight="14.25" x14ac:dyDescent="0.2"/>
  <cols>
    <col min="1" max="1" width="16.125" style="17" bestFit="1" customWidth="1"/>
    <col min="2" max="4" width="21.375" style="17" bestFit="1" customWidth="1"/>
    <col min="5" max="16384" width="9" style="17"/>
  </cols>
  <sheetData>
    <row r="1" spans="1:4" x14ac:dyDescent="0.2">
      <c r="A1" s="16" t="s">
        <v>18</v>
      </c>
    </row>
    <row r="2" spans="1:4" ht="15" customHeight="1" thickBot="1" x14ac:dyDescent="0.25">
      <c r="A2" s="18"/>
    </row>
    <row r="3" spans="1:4" ht="15" thickBot="1" x14ac:dyDescent="0.25">
      <c r="A3" s="19" t="s">
        <v>19</v>
      </c>
      <c r="B3" s="20" t="s">
        <v>20</v>
      </c>
      <c r="C3" s="20" t="s">
        <v>20</v>
      </c>
      <c r="D3" s="20" t="s">
        <v>20</v>
      </c>
    </row>
    <row r="4" spans="1:4" ht="15" thickBot="1" x14ac:dyDescent="0.25">
      <c r="A4" s="20" t="s">
        <v>21</v>
      </c>
      <c r="B4" s="20" t="s">
        <v>22</v>
      </c>
      <c r="C4" s="20" t="s">
        <v>23</v>
      </c>
      <c r="D4" s="21" t="s">
        <v>24</v>
      </c>
    </row>
    <row r="5" spans="1:4" ht="15" thickBot="1" x14ac:dyDescent="0.25">
      <c r="A5" s="20" t="s">
        <v>25</v>
      </c>
      <c r="B5" s="22">
        <v>1984.5117700000001</v>
      </c>
      <c r="C5" s="22">
        <v>1014.24287</v>
      </c>
      <c r="D5" s="23">
        <v>2998.7546400000001</v>
      </c>
    </row>
    <row r="6" spans="1:4" ht="15" thickBot="1" x14ac:dyDescent="0.25">
      <c r="A6" s="20" t="s">
        <v>26</v>
      </c>
      <c r="B6" s="24">
        <v>668.39209100000005</v>
      </c>
      <c r="C6" s="24">
        <v>493.73625299999998</v>
      </c>
      <c r="D6" s="23">
        <v>1162.128344</v>
      </c>
    </row>
    <row r="7" spans="1:4" ht="15" thickBot="1" x14ac:dyDescent="0.25">
      <c r="A7" s="20" t="s">
        <v>27</v>
      </c>
      <c r="B7" s="22">
        <v>183.88675000000001</v>
      </c>
      <c r="C7" s="22">
        <v>139.08125000000001</v>
      </c>
      <c r="D7" s="23">
        <v>322.96800000000002</v>
      </c>
    </row>
    <row r="8" spans="1:4" ht="15" thickBot="1" x14ac:dyDescent="0.25">
      <c r="A8" s="20" t="s">
        <v>28</v>
      </c>
      <c r="B8" s="24">
        <v>283.61500000000001</v>
      </c>
      <c r="C8" s="24">
        <v>181.59100000000001</v>
      </c>
      <c r="D8" s="23">
        <v>465.20600000000002</v>
      </c>
    </row>
    <row r="9" spans="1:4" ht="15" thickBot="1" x14ac:dyDescent="0.25">
      <c r="A9" s="20" t="s">
        <v>29</v>
      </c>
      <c r="B9" s="22">
        <v>337.34875</v>
      </c>
      <c r="C9" s="22">
        <v>261.18700000000001</v>
      </c>
      <c r="D9" s="23">
        <v>598.53575000000001</v>
      </c>
    </row>
    <row r="10" spans="1:4" ht="15" thickBot="1" x14ac:dyDescent="0.25">
      <c r="A10" s="20" t="s">
        <v>30</v>
      </c>
      <c r="B10" s="24">
        <v>136.3665</v>
      </c>
      <c r="C10" s="24">
        <v>93.828000000000003</v>
      </c>
      <c r="D10" s="23">
        <v>230.19450000000001</v>
      </c>
    </row>
    <row r="11" spans="1:4" ht="15" thickBot="1" x14ac:dyDescent="0.25">
      <c r="A11" s="20" t="s">
        <v>31</v>
      </c>
      <c r="B11" s="22">
        <v>17.341999999999999</v>
      </c>
      <c r="C11" s="22">
        <v>12.898999999999999</v>
      </c>
      <c r="D11" s="23">
        <v>30.241</v>
      </c>
    </row>
    <row r="12" spans="1:4" ht="15" thickBot="1" x14ac:dyDescent="0.25">
      <c r="A12" s="20" t="s">
        <v>32</v>
      </c>
      <c r="B12" s="24">
        <v>90.240750000000006</v>
      </c>
      <c r="C12" s="24">
        <v>39.838000000000001</v>
      </c>
      <c r="D12" s="23">
        <v>130.07875000000001</v>
      </c>
    </row>
    <row r="13" spans="1:4" ht="15" thickBot="1" x14ac:dyDescent="0.25">
      <c r="A13" s="20" t="s">
        <v>33</v>
      </c>
      <c r="B13" s="22">
        <v>33.506749999999997</v>
      </c>
      <c r="C13" s="22">
        <v>30.268999999999998</v>
      </c>
      <c r="D13" s="23">
        <v>63.775750000000002</v>
      </c>
    </row>
    <row r="14" spans="1:4" ht="15" thickBot="1" x14ac:dyDescent="0.25">
      <c r="A14" s="20" t="s">
        <v>34</v>
      </c>
      <c r="B14" s="24">
        <v>82.792500000000004</v>
      </c>
      <c r="C14" s="24">
        <v>54.224249999999998</v>
      </c>
      <c r="D14" s="23">
        <v>137.01675</v>
      </c>
    </row>
    <row r="15" spans="1:4" ht="15" thickBot="1" x14ac:dyDescent="0.25">
      <c r="A15" s="20" t="s">
        <v>35</v>
      </c>
      <c r="B15" s="22">
        <v>60.566749999999999</v>
      </c>
      <c r="C15" s="22">
        <v>37.499250000000004</v>
      </c>
      <c r="D15" s="23">
        <v>98.066000000000003</v>
      </c>
    </row>
    <row r="16" spans="1:4" ht="15" thickBot="1" x14ac:dyDescent="0.25">
      <c r="A16" s="20" t="s">
        <v>36</v>
      </c>
      <c r="B16" s="24">
        <v>1.903</v>
      </c>
      <c r="C16" s="24">
        <v>2.0310000000000001</v>
      </c>
      <c r="D16" s="23">
        <v>3.9340000000000002</v>
      </c>
    </row>
    <row r="17" spans="1:4" ht="15" thickBot="1" x14ac:dyDescent="0.25">
      <c r="A17" s="20" t="s">
        <v>37</v>
      </c>
      <c r="B17" s="22">
        <v>196.683325</v>
      </c>
      <c r="C17" s="22">
        <v>94.302987000000002</v>
      </c>
      <c r="D17" s="23">
        <v>290.986312</v>
      </c>
    </row>
    <row r="18" spans="1:4" ht="15" thickBot="1" x14ac:dyDescent="0.25">
      <c r="A18" s="20" t="s">
        <v>38</v>
      </c>
      <c r="B18" s="24">
        <v>74.901820000000001</v>
      </c>
      <c r="C18" s="24">
        <v>42.684393</v>
      </c>
      <c r="D18" s="23">
        <v>117.586213</v>
      </c>
    </row>
    <row r="19" spans="1:4" ht="15" thickBot="1" x14ac:dyDescent="0.25">
      <c r="A19" s="20" t="s">
        <v>39</v>
      </c>
      <c r="B19" s="22">
        <v>47.118243999999997</v>
      </c>
      <c r="C19" s="22">
        <v>29.613747</v>
      </c>
      <c r="D19" s="23">
        <v>76.731990999999994</v>
      </c>
    </row>
    <row r="20" spans="1:4" ht="15" thickBot="1" x14ac:dyDescent="0.25">
      <c r="A20" s="21" t="s">
        <v>24</v>
      </c>
      <c r="B20" s="23">
        <v>4199.1760000000004</v>
      </c>
      <c r="C20" s="23">
        <v>2527.0279999999998</v>
      </c>
      <c r="D20" s="23">
        <v>6726.2039999999997</v>
      </c>
    </row>
    <row r="21" spans="1:4" x14ac:dyDescent="0.2">
      <c r="C21" s="17" t="s">
        <v>40</v>
      </c>
      <c r="D21" s="17">
        <f>SUM(D5:D7)/D20</f>
        <v>0.66662429269168755</v>
      </c>
    </row>
    <row r="22" spans="1:4" x14ac:dyDescent="0.2">
      <c r="C22" s="17" t="s">
        <v>41</v>
      </c>
      <c r="D22" s="17">
        <v>1169.3658716230213</v>
      </c>
    </row>
    <row r="23" spans="1:4" x14ac:dyDescent="0.2">
      <c r="C23" s="17" t="s">
        <v>42</v>
      </c>
      <c r="D23" s="17">
        <f>D22*D21</f>
        <v>779.52769706849529</v>
      </c>
    </row>
    <row r="24" spans="1:4" x14ac:dyDescent="0.2">
      <c r="C24" s="17" t="s">
        <v>43</v>
      </c>
      <c r="D24" s="17">
        <v>78</v>
      </c>
    </row>
    <row r="25" spans="1:4" x14ac:dyDescent="0.2">
      <c r="C25" s="17" t="s">
        <v>44</v>
      </c>
      <c r="D25" s="25">
        <f>D24/D23</f>
        <v>0.10006058834513268</v>
      </c>
    </row>
  </sheetData>
  <phoneticPr fontId="2" type="noConversion"/>
  <conditionalFormatting sqref="C5:E33">
    <cfRule type="cellIs" dxfId="2" priority="2" operator="lessThan">
      <formula>0.1</formula>
    </cfRule>
  </conditionalFormatting>
  <conditionalFormatting sqref="F6:O33">
    <cfRule type="cellIs" dxfId="1" priority="1" operator="lessThan">
      <formula>$O$5</formula>
    </cfRule>
  </conditionalFormatting>
  <hyperlinks>
    <hyperlink ref="A1" r:id="rId1" display="http://pib.kbh.pvt:8080/irj/servlet/prt/portal/prtroot/pcd!3aportal_content!2fcom.sap.pct!2fplatform_add_ons!2fcom.sap.ip.bi!2fiViews!2fcom.sap.ip.bi.bex?BOOKMARK=006EJI0272786JEVSFCN4R75Y"/>
  </hyperlinks>
  <pageMargins left="0.7" right="0.7" top="0.75" bottom="0.75" header="0.3" footer="0.3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showGridLines="0" workbookViewId="0">
      <selection activeCell="B2" sqref="B2:K12"/>
    </sheetView>
  </sheetViews>
  <sheetFormatPr defaultRowHeight="14.25" x14ac:dyDescent="0.2"/>
  <cols>
    <col min="2" max="2" width="16.25" customWidth="1"/>
    <col min="3" max="11" width="12.5" customWidth="1"/>
  </cols>
  <sheetData>
    <row r="2" spans="2:11" ht="22.5" x14ac:dyDescent="0.2">
      <c r="B2" s="73" t="s">
        <v>45</v>
      </c>
      <c r="C2" s="75" t="s">
        <v>46</v>
      </c>
      <c r="D2" s="76"/>
      <c r="E2" s="77"/>
      <c r="F2" s="78" t="s">
        <v>47</v>
      </c>
      <c r="G2" s="79"/>
      <c r="H2" s="80"/>
      <c r="I2" s="78" t="s">
        <v>55</v>
      </c>
      <c r="J2" s="79"/>
      <c r="K2" s="80"/>
    </row>
    <row r="3" spans="2:11" ht="22.5" x14ac:dyDescent="0.2">
      <c r="B3" s="74"/>
      <c r="C3" s="26">
        <v>2404</v>
      </c>
      <c r="D3" s="26">
        <v>2405</v>
      </c>
      <c r="E3" s="27">
        <v>2406</v>
      </c>
      <c r="F3" s="28">
        <v>2404</v>
      </c>
      <c r="G3" s="29">
        <v>2405</v>
      </c>
      <c r="H3" s="30">
        <v>2406</v>
      </c>
      <c r="I3" s="28">
        <v>2404</v>
      </c>
      <c r="J3" s="29">
        <v>2405</v>
      </c>
      <c r="K3" s="30">
        <v>2406</v>
      </c>
    </row>
    <row r="4" spans="2:11" ht="22.5" x14ac:dyDescent="0.2">
      <c r="B4" s="31" t="s">
        <v>6</v>
      </c>
      <c r="C4" s="38">
        <v>44</v>
      </c>
      <c r="D4" s="38">
        <v>55</v>
      </c>
      <c r="E4" s="39">
        <v>56</v>
      </c>
      <c r="F4" s="40">
        <v>58</v>
      </c>
      <c r="G4" s="38">
        <v>56</v>
      </c>
      <c r="H4" s="39">
        <v>56</v>
      </c>
      <c r="I4" s="50">
        <f>C4-F4</f>
        <v>-14</v>
      </c>
      <c r="J4" s="51">
        <f t="shared" ref="J4:K4" si="0">D4-G4</f>
        <v>-1</v>
      </c>
      <c r="K4" s="39">
        <f t="shared" si="0"/>
        <v>0</v>
      </c>
    </row>
    <row r="5" spans="2:11" ht="22.5" x14ac:dyDescent="0.2">
      <c r="B5" s="32" t="s">
        <v>48</v>
      </c>
      <c r="C5" s="41">
        <v>36</v>
      </c>
      <c r="D5" s="41">
        <v>47</v>
      </c>
      <c r="E5" s="58">
        <v>44</v>
      </c>
      <c r="F5" s="43">
        <v>41</v>
      </c>
      <c r="G5" s="41">
        <v>40</v>
      </c>
      <c r="H5" s="42">
        <v>38</v>
      </c>
      <c r="I5" s="53">
        <f t="shared" ref="I5:I12" si="1">C5-F5</f>
        <v>-5</v>
      </c>
      <c r="J5" s="54">
        <f t="shared" ref="J5:J12" si="2">D5-G5</f>
        <v>7</v>
      </c>
      <c r="K5" s="33">
        <f t="shared" ref="K5:K12" si="3">E5-H5</f>
        <v>6</v>
      </c>
    </row>
    <row r="6" spans="2:11" ht="22.5" x14ac:dyDescent="0.2">
      <c r="B6" s="32" t="s">
        <v>49</v>
      </c>
      <c r="C6" s="41">
        <v>61</v>
      </c>
      <c r="D6" s="41">
        <v>74</v>
      </c>
      <c r="E6" s="42">
        <v>80</v>
      </c>
      <c r="F6" s="43">
        <v>95</v>
      </c>
      <c r="G6" s="41">
        <v>94</v>
      </c>
      <c r="H6" s="42">
        <v>94</v>
      </c>
      <c r="I6" s="53">
        <f t="shared" si="1"/>
        <v>-34</v>
      </c>
      <c r="J6" s="54">
        <f t="shared" si="2"/>
        <v>-20</v>
      </c>
      <c r="K6" s="33">
        <f t="shared" si="3"/>
        <v>-14</v>
      </c>
    </row>
    <row r="7" spans="2:11" ht="22.5" x14ac:dyDescent="0.2">
      <c r="B7" s="34" t="s">
        <v>50</v>
      </c>
      <c r="C7" s="44">
        <v>97</v>
      </c>
      <c r="D7" s="44">
        <v>97</v>
      </c>
      <c r="E7" s="45">
        <v>98</v>
      </c>
      <c r="F7" s="46">
        <v>98</v>
      </c>
      <c r="G7" s="44">
        <v>98</v>
      </c>
      <c r="H7" s="59">
        <v>99</v>
      </c>
      <c r="I7" s="50">
        <f t="shared" si="1"/>
        <v>-1</v>
      </c>
      <c r="J7" s="51">
        <f t="shared" si="2"/>
        <v>-1</v>
      </c>
      <c r="K7" s="52">
        <f t="shared" si="3"/>
        <v>-1</v>
      </c>
    </row>
    <row r="8" spans="2:11" ht="22.5" x14ac:dyDescent="0.2">
      <c r="B8" s="34" t="s">
        <v>51</v>
      </c>
      <c r="C8" s="44">
        <v>47</v>
      </c>
      <c r="D8" s="44">
        <v>69</v>
      </c>
      <c r="E8" s="45">
        <v>75</v>
      </c>
      <c r="F8" s="46">
        <v>98</v>
      </c>
      <c r="G8" s="35">
        <v>99</v>
      </c>
      <c r="H8" s="45">
        <v>99</v>
      </c>
      <c r="I8" s="50">
        <f t="shared" si="1"/>
        <v>-51</v>
      </c>
      <c r="J8" s="51">
        <f t="shared" si="2"/>
        <v>-30</v>
      </c>
      <c r="K8" s="52">
        <f t="shared" si="3"/>
        <v>-24</v>
      </c>
    </row>
    <row r="9" spans="2:11" ht="22.5" x14ac:dyDescent="0.2">
      <c r="B9" s="34" t="s">
        <v>52</v>
      </c>
      <c r="C9" s="44">
        <v>69</v>
      </c>
      <c r="D9" s="44">
        <v>72</v>
      </c>
      <c r="E9" s="45">
        <v>80</v>
      </c>
      <c r="F9" s="46">
        <v>90</v>
      </c>
      <c r="G9" s="44">
        <v>86</v>
      </c>
      <c r="H9" s="45">
        <v>85</v>
      </c>
      <c r="I9" s="50">
        <f t="shared" si="1"/>
        <v>-21</v>
      </c>
      <c r="J9" s="51">
        <f t="shared" si="2"/>
        <v>-14</v>
      </c>
      <c r="K9" s="52">
        <f t="shared" si="3"/>
        <v>-5</v>
      </c>
    </row>
    <row r="10" spans="2:11" ht="22.5" x14ac:dyDescent="0.2">
      <c r="B10" s="34" t="s">
        <v>53</v>
      </c>
      <c r="C10" s="44">
        <v>70</v>
      </c>
      <c r="D10" s="44">
        <v>97</v>
      </c>
      <c r="E10" s="45">
        <v>98</v>
      </c>
      <c r="F10" s="46">
        <v>98</v>
      </c>
      <c r="G10" s="35">
        <v>99</v>
      </c>
      <c r="H10" s="45">
        <v>99</v>
      </c>
      <c r="I10" s="50">
        <f t="shared" si="1"/>
        <v>-28</v>
      </c>
      <c r="J10" s="51">
        <f t="shared" si="2"/>
        <v>-2</v>
      </c>
      <c r="K10" s="52">
        <f t="shared" si="3"/>
        <v>-1</v>
      </c>
    </row>
    <row r="11" spans="2:11" ht="22.5" x14ac:dyDescent="0.2">
      <c r="B11" s="36" t="s">
        <v>54</v>
      </c>
      <c r="C11" s="44">
        <v>51</v>
      </c>
      <c r="D11" s="44">
        <v>56</v>
      </c>
      <c r="E11" s="45">
        <v>58</v>
      </c>
      <c r="F11" s="46">
        <v>61</v>
      </c>
      <c r="G11" s="44">
        <v>57</v>
      </c>
      <c r="H11" s="45">
        <v>54</v>
      </c>
      <c r="I11" s="50">
        <f t="shared" si="1"/>
        <v>-10</v>
      </c>
      <c r="J11" s="51">
        <f t="shared" si="2"/>
        <v>-1</v>
      </c>
      <c r="K11" s="52">
        <f t="shared" si="3"/>
        <v>4</v>
      </c>
    </row>
    <row r="12" spans="2:11" ht="22.5" x14ac:dyDescent="0.2">
      <c r="B12" s="37" t="s">
        <v>7</v>
      </c>
      <c r="C12" s="47">
        <v>56</v>
      </c>
      <c r="D12" s="47">
        <v>63</v>
      </c>
      <c r="E12" s="48">
        <v>63</v>
      </c>
      <c r="F12" s="49">
        <v>77</v>
      </c>
      <c r="G12" s="47">
        <v>74</v>
      </c>
      <c r="H12" s="60">
        <v>78</v>
      </c>
      <c r="I12" s="55">
        <f t="shared" si="1"/>
        <v>-21</v>
      </c>
      <c r="J12" s="56">
        <f t="shared" si="2"/>
        <v>-11</v>
      </c>
      <c r="K12" s="57">
        <f t="shared" si="3"/>
        <v>-15</v>
      </c>
    </row>
  </sheetData>
  <mergeCells count="4">
    <mergeCell ref="B2:B3"/>
    <mergeCell ref="C2:E2"/>
    <mergeCell ref="F2:H2"/>
    <mergeCell ref="I2:K2"/>
  </mergeCells>
  <phoneticPr fontId="2" type="noConversion"/>
  <conditionalFormatting sqref="I4:K12">
    <cfRule type="cellIs" dxfId="0" priority="1" operator="lessThan">
      <formula>0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"/>
  <sheetViews>
    <sheetView showGridLines="0" workbookViewId="0">
      <selection activeCell="Y19" sqref="Y19"/>
    </sheetView>
  </sheetViews>
  <sheetFormatPr defaultRowHeight="14.25" x14ac:dyDescent="0.2"/>
  <sheetData>
    <row r="3" spans="1:8" x14ac:dyDescent="0.2">
      <c r="B3" s="2" t="s">
        <v>0</v>
      </c>
      <c r="C3" s="2" t="s">
        <v>17</v>
      </c>
      <c r="D3" s="2" t="s">
        <v>1</v>
      </c>
      <c r="E3" s="2" t="s">
        <v>16</v>
      </c>
      <c r="F3" s="2">
        <v>2404</v>
      </c>
      <c r="G3" s="2">
        <v>2405</v>
      </c>
      <c r="H3" s="2">
        <v>2406</v>
      </c>
    </row>
    <row r="4" spans="1:8" x14ac:dyDescent="0.2">
      <c r="A4" t="s">
        <v>2</v>
      </c>
      <c r="B4">
        <v>133</v>
      </c>
      <c r="C4">
        <v>64</v>
      </c>
      <c r="D4">
        <v>93</v>
      </c>
      <c r="E4" s="1">
        <v>70</v>
      </c>
      <c r="F4" s="1">
        <v>71.172499999999999</v>
      </c>
      <c r="G4" s="1">
        <v>78.407250000000005</v>
      </c>
      <c r="H4" s="1">
        <v>60.35125</v>
      </c>
    </row>
    <row r="5" spans="1:8" x14ac:dyDescent="0.2">
      <c r="A5" t="s">
        <v>3</v>
      </c>
      <c r="B5">
        <v>179</v>
      </c>
      <c r="C5">
        <v>103</v>
      </c>
      <c r="D5">
        <v>165</v>
      </c>
      <c r="E5" s="1">
        <v>150</v>
      </c>
      <c r="F5" s="1">
        <v>154.68200000000002</v>
      </c>
      <c r="G5" s="1">
        <v>142.08150000000001</v>
      </c>
      <c r="H5" s="1">
        <v>154.11699999999999</v>
      </c>
    </row>
    <row r="6" spans="1:8" x14ac:dyDescent="0.2">
      <c r="A6" t="s">
        <v>4</v>
      </c>
      <c r="B6" s="13">
        <v>0.48</v>
      </c>
      <c r="C6" s="13">
        <v>0.39</v>
      </c>
      <c r="D6" s="13">
        <f>D4/SUM(D4:D5)</f>
        <v>0.36046511627906974</v>
      </c>
      <c r="E6" s="13">
        <f t="shared" ref="E6:H6" si="0">E4/SUM(E4:E5)</f>
        <v>0.31818181818181818</v>
      </c>
      <c r="F6" s="13">
        <f t="shared" si="0"/>
        <v>0.31512544580692431</v>
      </c>
      <c r="G6" s="13">
        <f t="shared" si="0"/>
        <v>0.35560657856693367</v>
      </c>
      <c r="H6" s="13">
        <f t="shared" si="0"/>
        <v>0.28139946122561266</v>
      </c>
    </row>
  </sheetData>
  <phoneticPr fontId="2" type="noConversion"/>
  <pageMargins left="0.7" right="0.7" top="0.75" bottom="0.75" header="0.3" footer="0.3"/>
  <pageSetup paperSize="9" orientation="portrait" verticalDpi="0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2"/>
  <sheetViews>
    <sheetView showGridLines="0" tabSelected="1" workbookViewId="0">
      <selection activeCell="L10" sqref="L10"/>
    </sheetView>
  </sheetViews>
  <sheetFormatPr defaultRowHeight="14.25" x14ac:dyDescent="0.2"/>
  <cols>
    <col min="2" max="2" width="13.75" customWidth="1"/>
    <col min="3" max="8" width="9.5" customWidth="1"/>
  </cols>
  <sheetData>
    <row r="3" spans="2:13" ht="22.5" x14ac:dyDescent="0.2">
      <c r="B3" s="61" t="s">
        <v>5</v>
      </c>
      <c r="C3" s="62" t="s">
        <v>6</v>
      </c>
      <c r="D3" s="62" t="s">
        <v>7</v>
      </c>
      <c r="E3" s="62" t="s">
        <v>8</v>
      </c>
      <c r="F3" s="62" t="s">
        <v>9</v>
      </c>
      <c r="G3" s="62" t="s">
        <v>10</v>
      </c>
      <c r="H3" s="63" t="s">
        <v>11</v>
      </c>
    </row>
    <row r="4" spans="2:13" ht="22.5" x14ac:dyDescent="0.2">
      <c r="B4" s="64" t="s">
        <v>56</v>
      </c>
      <c r="C4" s="66">
        <f>SUM(C5:C6)</f>
        <v>40.017813115297251</v>
      </c>
      <c r="D4" s="66">
        <f t="shared" ref="D4:H4" si="0">SUM(D5:D6)</f>
        <v>12.724552443806964</v>
      </c>
      <c r="E4" s="66">
        <f t="shared" si="0"/>
        <v>9.7642652722385783</v>
      </c>
      <c r="F4" s="66">
        <f t="shared" si="0"/>
        <v>7.7089486591231502</v>
      </c>
      <c r="G4" s="66">
        <f t="shared" si="0"/>
        <v>9.2200467401285593</v>
      </c>
      <c r="H4" s="67">
        <f t="shared" si="0"/>
        <v>0.6</v>
      </c>
    </row>
    <row r="5" spans="2:13" ht="22.5" x14ac:dyDescent="0.2">
      <c r="B5" s="64" t="s">
        <v>57</v>
      </c>
      <c r="C5" s="66">
        <f>SUM(D5:H5)</f>
        <v>16.241761352145531</v>
      </c>
      <c r="D5" s="68">
        <v>4.8090233265997222</v>
      </c>
      <c r="E5" s="68">
        <v>4.2751235940139578</v>
      </c>
      <c r="F5" s="68">
        <v>3.2687255426429607</v>
      </c>
      <c r="G5" s="68">
        <v>3.8888888888888902</v>
      </c>
      <c r="H5" s="69">
        <v>0</v>
      </c>
    </row>
    <row r="6" spans="2:13" ht="22.5" x14ac:dyDescent="0.2">
      <c r="B6" s="65" t="s">
        <v>58</v>
      </c>
      <c r="C6" s="70">
        <f>SUM(D6:H6)</f>
        <v>23.77605176315172</v>
      </c>
      <c r="D6" s="71">
        <v>7.9155291172072406</v>
      </c>
      <c r="E6" s="71">
        <v>5.4891416782246196</v>
      </c>
      <c r="F6" s="71">
        <v>4.4402231164801895</v>
      </c>
      <c r="G6" s="71">
        <v>5.33115785123967</v>
      </c>
      <c r="H6" s="72">
        <v>0.6</v>
      </c>
    </row>
    <row r="9" spans="2:13" ht="22.5" x14ac:dyDescent="0.2">
      <c r="B9" s="12" t="s">
        <v>15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4" t="s">
        <v>11</v>
      </c>
    </row>
    <row r="10" spans="2:13" ht="22.5" x14ac:dyDescent="0.2">
      <c r="B10" s="5" t="s">
        <v>12</v>
      </c>
      <c r="C10" s="6">
        <f>SUM(C11:C12)</f>
        <v>78.020813499230329</v>
      </c>
      <c r="D10" s="6">
        <f t="shared" ref="D10:H10" si="1">SUM(D11:D12)</f>
        <v>23.982849210676022</v>
      </c>
      <c r="E10" s="6">
        <f t="shared" si="1"/>
        <v>18.95367226330427</v>
      </c>
      <c r="F10" s="6">
        <f t="shared" si="1"/>
        <v>15.505100689655197</v>
      </c>
      <c r="G10" s="6">
        <f t="shared" si="1"/>
        <v>17.579191335594835</v>
      </c>
      <c r="H10" s="7">
        <f t="shared" si="1"/>
        <v>2</v>
      </c>
    </row>
    <row r="11" spans="2:13" ht="22.5" x14ac:dyDescent="0.2">
      <c r="B11" s="14" t="s">
        <v>13</v>
      </c>
      <c r="C11" s="8">
        <f>SUM(D11:H11)</f>
        <v>53.738933477603048</v>
      </c>
      <c r="D11" s="8">
        <v>15.933560157460164</v>
      </c>
      <c r="E11" s="8">
        <v>13.204243699592904</v>
      </c>
      <c r="F11" s="8">
        <v>10.787859310344853</v>
      </c>
      <c r="G11" s="8">
        <v>12.41327031020513</v>
      </c>
      <c r="H11" s="9">
        <v>1.4</v>
      </c>
    </row>
    <row r="12" spans="2:13" ht="22.5" x14ac:dyDescent="0.2">
      <c r="B12" s="15" t="s">
        <v>14</v>
      </c>
      <c r="C12" s="10">
        <f>SUM(D12:H12)</f>
        <v>24.281880021627277</v>
      </c>
      <c r="D12" s="10">
        <v>8.0492890532158583</v>
      </c>
      <c r="E12" s="10">
        <v>5.7494285637113656</v>
      </c>
      <c r="F12" s="10">
        <v>4.7172413793103454</v>
      </c>
      <c r="G12" s="10">
        <v>5.1659210253897072</v>
      </c>
      <c r="H12" s="11">
        <v>0.6</v>
      </c>
      <c r="M12">
        <v>1000</v>
      </c>
    </row>
  </sheetData>
  <phoneticPr fontId="2" type="noConversion"/>
  <pageMargins left="0.7" right="0.7" top="0.75" bottom="0.75" header="0.3" footer="0.3"/>
  <pageSetup paperSize="9" orientation="portrait" verticalDpi="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真味道</vt:lpstr>
      <vt:lpstr>好汤面</vt:lpstr>
      <vt:lpstr>1倍半</vt:lpstr>
      <vt:lpstr>目标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2024-08-17T09:00:13Z</dcterms:modified>
</cp:coreProperties>
</file>