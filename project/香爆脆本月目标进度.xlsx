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桌面\会议报表\营运月会\专案\2505-香爆脆\"/>
    </mc:Choice>
  </mc:AlternateContent>
  <bookViews>
    <workbookView xWindow="0" yWindow="0" windowWidth="28800" windowHeight="12240" firstSheet="1" activeTab="1"/>
  </bookViews>
  <sheets>
    <sheet name="_com.sap.ip.bi.xl.hiddensheet" sheetId="4" state="veryHidden" r:id="rId1"/>
    <sheet name="Sheet1" sheetId="2" r:id="rId2"/>
    <sheet name="Sheet2" sheetId="5" r:id="rId3"/>
  </sheets>
  <definedNames>
    <definedName name="SAPCrosstab1">Sheet2!$E$1:$K$38</definedName>
    <definedName name="SAPCrosstab2">Sheet2!$M$1:$P$28</definedName>
  </definedNames>
  <calcPr calcId="162913" concurrentManualCount="8"/>
</workbook>
</file>

<file path=xl/calcChain.xml><?xml version="1.0" encoding="utf-8"?>
<calcChain xmlns="http://schemas.openxmlformats.org/spreadsheetml/2006/main">
  <c r="C35" i="5" l="1"/>
  <c r="C34" i="5"/>
  <c r="C33" i="5"/>
  <c r="C32" i="5"/>
  <c r="C31" i="5"/>
  <c r="C30" i="5"/>
  <c r="C28" i="5"/>
  <c r="C27" i="5"/>
  <c r="C26" i="5"/>
  <c r="C25" i="5"/>
  <c r="C24" i="5"/>
  <c r="C19" i="5"/>
  <c r="C18" i="5"/>
  <c r="C17" i="5"/>
  <c r="C16" i="5"/>
  <c r="C15" i="5"/>
  <c r="C14" i="5"/>
  <c r="C13" i="5"/>
  <c r="C10" i="5"/>
  <c r="C9" i="5"/>
  <c r="C8" i="5"/>
  <c r="C7" i="5"/>
  <c r="C6" i="5"/>
  <c r="C5" i="5"/>
  <c r="I10" i="2" s="1"/>
  <c r="C4" i="5"/>
  <c r="D35" i="5"/>
  <c r="D28" i="5"/>
  <c r="L27" i="5"/>
  <c r="L22" i="5"/>
  <c r="K9" i="2"/>
  <c r="J9" i="2"/>
  <c r="I9" i="2"/>
  <c r="H9" i="2"/>
  <c r="D9" i="2"/>
  <c r="C9" i="2"/>
  <c r="E9" i="2" s="1"/>
  <c r="K8" i="2"/>
  <c r="J8" i="2"/>
  <c r="I8" i="2"/>
  <c r="H8" i="2"/>
  <c r="D8" i="2"/>
  <c r="C8" i="2"/>
  <c r="E8" i="2" s="1"/>
  <c r="G8" i="2" s="1"/>
  <c r="K7" i="2"/>
  <c r="J7" i="2"/>
  <c r="I7" i="2"/>
  <c r="H7" i="2"/>
  <c r="D7" i="2"/>
  <c r="C7" i="2"/>
  <c r="E7" i="2" s="1"/>
  <c r="K6" i="2"/>
  <c r="J6" i="2"/>
  <c r="I6" i="2"/>
  <c r="H6" i="2"/>
  <c r="D6" i="2"/>
  <c r="C6" i="2"/>
  <c r="E6" i="2" s="1"/>
  <c r="F6" i="2" s="1"/>
  <c r="A23" i="5"/>
  <c r="B23" i="5"/>
  <c r="B37" i="5"/>
  <c r="B29" i="5"/>
  <c r="B21" i="5"/>
  <c r="D4" i="5"/>
  <c r="D5" i="5"/>
  <c r="D6" i="5"/>
  <c r="D7" i="5"/>
  <c r="D8" i="5"/>
  <c r="D9" i="5"/>
  <c r="D10" i="5"/>
  <c r="D13" i="5"/>
  <c r="D14" i="5"/>
  <c r="D15" i="5"/>
  <c r="D16" i="5"/>
  <c r="D17" i="5"/>
  <c r="D18" i="5"/>
  <c r="D19" i="5"/>
  <c r="D24" i="5"/>
  <c r="D25" i="5"/>
  <c r="D26" i="5"/>
  <c r="D27" i="5"/>
  <c r="D30" i="5"/>
  <c r="D31" i="5"/>
  <c r="D32" i="5"/>
  <c r="D33" i="5"/>
  <c r="D34" i="5"/>
  <c r="J4" i="2"/>
  <c r="E4" i="2"/>
  <c r="G4" i="2" s="1"/>
  <c r="D4" i="2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3" i="5"/>
  <c r="B12" i="5"/>
  <c r="A12" i="5"/>
  <c r="K5" i="2" s="1"/>
  <c r="A21" i="5"/>
  <c r="A29" i="5"/>
  <c r="A37" i="5"/>
  <c r="K4" i="2"/>
  <c r="I4" i="2"/>
  <c r="H4" i="2"/>
  <c r="C13" i="2" l="1"/>
  <c r="E13" i="2" s="1"/>
  <c r="J13" i="2"/>
  <c r="J10" i="2"/>
  <c r="G9" i="2"/>
  <c r="H28" i="2"/>
  <c r="H10" i="2"/>
  <c r="K13" i="2"/>
  <c r="D10" i="2"/>
  <c r="I13" i="2"/>
  <c r="J33" i="2"/>
  <c r="K15" i="2"/>
  <c r="H13" i="2"/>
  <c r="D13" i="2"/>
  <c r="K10" i="2"/>
  <c r="C10" i="2"/>
  <c r="E10" i="2" s="1"/>
  <c r="I28" i="2"/>
  <c r="J28" i="2"/>
  <c r="C28" i="2"/>
  <c r="E28" i="2" s="1"/>
  <c r="D28" i="2"/>
  <c r="K28" i="2"/>
  <c r="F7" i="2"/>
  <c r="G7" i="2"/>
  <c r="F8" i="2"/>
  <c r="F9" i="2"/>
  <c r="G6" i="2"/>
  <c r="D16" i="2"/>
  <c r="H21" i="2"/>
  <c r="C11" i="2"/>
  <c r="E11" i="2" s="1"/>
  <c r="G11" i="2" s="1"/>
  <c r="I16" i="2"/>
  <c r="C15" i="2"/>
  <c r="E15" i="2" s="1"/>
  <c r="K25" i="2"/>
  <c r="H15" i="2"/>
  <c r="J14" i="2"/>
  <c r="K29" i="2"/>
  <c r="J24" i="2"/>
  <c r="D31" i="2"/>
  <c r="C5" i="2"/>
  <c r="D5" i="2"/>
  <c r="H5" i="2"/>
  <c r="F13" i="2"/>
  <c r="G13" i="2"/>
  <c r="C22" i="2"/>
  <c r="E22" i="2" s="1"/>
  <c r="I19" i="2"/>
  <c r="C31" i="2"/>
  <c r="E31" i="2" s="1"/>
  <c r="C21" i="2"/>
  <c r="E21" i="2" s="1"/>
  <c r="K33" i="2"/>
  <c r="H32" i="2"/>
  <c r="H23" i="2"/>
  <c r="K27" i="2"/>
  <c r="K11" i="2"/>
  <c r="K22" i="2"/>
  <c r="H29" i="2"/>
  <c r="I34" i="2"/>
  <c r="H19" i="2"/>
  <c r="D27" i="2"/>
  <c r="J23" i="2"/>
  <c r="H18" i="2"/>
  <c r="K21" i="2"/>
  <c r="K18" i="2"/>
  <c r="C24" i="2"/>
  <c r="E24" i="2" s="1"/>
  <c r="G24" i="2" s="1"/>
  <c r="I23" i="2"/>
  <c r="J16" i="2"/>
  <c r="J25" i="2"/>
  <c r="C27" i="2"/>
  <c r="E27" i="2" s="1"/>
  <c r="C33" i="2"/>
  <c r="E33" i="2" s="1"/>
  <c r="G33" i="2" s="1"/>
  <c r="C19" i="2"/>
  <c r="E19" i="2" s="1"/>
  <c r="C25" i="2"/>
  <c r="E25" i="2" s="1"/>
  <c r="C23" i="2"/>
  <c r="E23" i="2" s="1"/>
  <c r="F23" i="2" s="1"/>
  <c r="I32" i="2"/>
  <c r="H30" i="2"/>
  <c r="H12" i="2"/>
  <c r="K16" i="2"/>
  <c r="H26" i="2"/>
  <c r="K34" i="2"/>
  <c r="J19" i="2"/>
  <c r="I27" i="2"/>
  <c r="I11" i="2"/>
  <c r="D33" i="2"/>
  <c r="J17" i="2"/>
  <c r="K23" i="2"/>
  <c r="D22" i="2"/>
  <c r="H20" i="2"/>
  <c r="H14" i="2"/>
  <c r="J26" i="2"/>
  <c r="K31" i="2"/>
  <c r="D23" i="2"/>
  <c r="I31" i="2"/>
  <c r="H24" i="2"/>
  <c r="I25" i="2"/>
  <c r="D29" i="2"/>
  <c r="K12" i="2"/>
  <c r="J12" i="2"/>
  <c r="G12" i="2" s="1"/>
  <c r="H17" i="2"/>
  <c r="D18" i="2"/>
  <c r="D14" i="2"/>
  <c r="J20" i="2"/>
  <c r="C17" i="2"/>
  <c r="E17" i="2" s="1"/>
  <c r="C30" i="2"/>
  <c r="E30" i="2" s="1"/>
  <c r="C26" i="2"/>
  <c r="E26" i="2" s="1"/>
  <c r="C32" i="2"/>
  <c r="E32" i="2" s="1"/>
  <c r="C12" i="2"/>
  <c r="E12" i="2" s="1"/>
  <c r="D25" i="2"/>
  <c r="D30" i="2"/>
  <c r="D12" i="2"/>
  <c r="F12" i="2" s="1"/>
  <c r="K19" i="2"/>
  <c r="I29" i="2"/>
  <c r="J11" i="2"/>
  <c r="J22" i="2"/>
  <c r="H22" i="2"/>
  <c r="H27" i="2"/>
  <c r="H11" i="2"/>
  <c r="I30" i="2"/>
  <c r="K32" i="2"/>
  <c r="J21" i="2"/>
  <c r="I18" i="2"/>
  <c r="K20" i="2"/>
  <c r="H33" i="2"/>
  <c r="J27" i="2"/>
  <c r="D19" i="2"/>
  <c r="F19" i="2" s="1"/>
  <c r="J15" i="2"/>
  <c r="I20" i="2"/>
  <c r="D20" i="2"/>
  <c r="J18" i="2"/>
  <c r="C34" i="2"/>
  <c r="E34" i="2" s="1"/>
  <c r="J34" i="2"/>
  <c r="H34" i="2"/>
  <c r="C18" i="2"/>
  <c r="E18" i="2" s="1"/>
  <c r="C16" i="2"/>
  <c r="E16" i="2" s="1"/>
  <c r="F16" i="2" s="1"/>
  <c r="C14" i="2"/>
  <c r="E14" i="2" s="1"/>
  <c r="G14" i="2" s="1"/>
  <c r="D32" i="2"/>
  <c r="D17" i="2"/>
  <c r="I26" i="2"/>
  <c r="J31" i="2"/>
  <c r="D15" i="2"/>
  <c r="D26" i="2"/>
  <c r="I33" i="2"/>
  <c r="K17" i="2"/>
  <c r="I17" i="2"/>
  <c r="D24" i="2"/>
  <c r="D34" i="2"/>
  <c r="K26" i="2"/>
  <c r="J32" i="2"/>
  <c r="K14" i="2"/>
  <c r="I14" i="2"/>
  <c r="D21" i="2"/>
  <c r="C29" i="2"/>
  <c r="E29" i="2" s="1"/>
  <c r="G29" i="2" s="1"/>
  <c r="C20" i="2"/>
  <c r="E20" i="2" s="1"/>
  <c r="J30" i="2"/>
  <c r="I15" i="2"/>
  <c r="K24" i="2"/>
  <c r="J29" i="2"/>
  <c r="I24" i="2"/>
  <c r="H31" i="2"/>
  <c r="H16" i="2"/>
  <c r="D11" i="2"/>
  <c r="I22" i="2"/>
  <c r="K30" i="2"/>
  <c r="H25" i="2"/>
  <c r="I12" i="2"/>
  <c r="I21" i="2"/>
  <c r="F28" i="2"/>
  <c r="G28" i="2"/>
  <c r="I5" i="2"/>
  <c r="J5" i="2"/>
  <c r="F4" i="2"/>
  <c r="F10" i="2" l="1"/>
  <c r="G32" i="2"/>
  <c r="F11" i="2"/>
  <c r="F32" i="2"/>
  <c r="G30" i="2"/>
  <c r="F17" i="2"/>
  <c r="G25" i="2"/>
  <c r="G10" i="2"/>
  <c r="F34" i="2"/>
  <c r="G15" i="2"/>
  <c r="E5" i="2"/>
  <c r="G5" i="2" s="1"/>
  <c r="F24" i="2"/>
  <c r="F15" i="2"/>
  <c r="G34" i="2"/>
  <c r="F30" i="2"/>
  <c r="G26" i="2"/>
  <c r="G21" i="2"/>
  <c r="F21" i="2"/>
  <c r="F26" i="2"/>
  <c r="G27" i="2"/>
  <c r="G23" i="2"/>
  <c r="F27" i="2"/>
  <c r="F29" i="2"/>
  <c r="F14" i="2"/>
  <c r="F33" i="2"/>
  <c r="F31" i="2"/>
  <c r="G31" i="2"/>
  <c r="G18" i="2"/>
  <c r="F18" i="2"/>
  <c r="G19" i="2"/>
  <c r="G17" i="2"/>
  <c r="G16" i="2"/>
  <c r="F22" i="2"/>
  <c r="G22" i="2"/>
  <c r="F25" i="2"/>
  <c r="G20" i="2"/>
  <c r="F20" i="2"/>
  <c r="F5" i="2" l="1"/>
</calcChain>
</file>

<file path=xl/sharedStrings.xml><?xml version="1.0" encoding="utf-8"?>
<sst xmlns="http://schemas.openxmlformats.org/spreadsheetml/2006/main" count="164" uniqueCount="58">
  <si>
    <t>时间-年/月</t>
  </si>
  <si>
    <t>产品-品牌</t>
  </si>
  <si>
    <t>1.0元香爆脆</t>
  </si>
  <si>
    <t>营业部(顶益双管理)</t>
  </si>
  <si>
    <t>营业所(顶益双管理)</t>
  </si>
  <si>
    <t>哈尔滨营业部</t>
  </si>
  <si>
    <t>宾县外埠所</t>
  </si>
  <si>
    <t>哈尔滨OT所</t>
  </si>
  <si>
    <t>哈尔滨城区北所</t>
  </si>
  <si>
    <t>哈尔滨综合东所</t>
  </si>
  <si>
    <t>哈尔滨综合西所</t>
  </si>
  <si>
    <t>哈尔滨综合中所</t>
  </si>
  <si>
    <t>五常外埠所</t>
  </si>
  <si>
    <t>结果</t>
  </si>
  <si>
    <t>黑东营业部</t>
  </si>
  <si>
    <t>鹤岗城区所</t>
  </si>
  <si>
    <t>鸡西城区所</t>
  </si>
  <si>
    <t>佳木斯城区所</t>
  </si>
  <si>
    <t>牡丹江城区所</t>
  </si>
  <si>
    <t>七台河外埠所</t>
  </si>
  <si>
    <t>双鸭山城区所</t>
  </si>
  <si>
    <t>双鸭山外埠所</t>
  </si>
  <si>
    <t>黑西营业部</t>
  </si>
  <si>
    <t>海拉尔城区所</t>
  </si>
  <si>
    <t>呼盟外埠所</t>
  </si>
  <si>
    <t>龙江外埠所</t>
  </si>
  <si>
    <t>齐齐哈尔城区所</t>
  </si>
  <si>
    <t>兴安外埠所</t>
  </si>
  <si>
    <t>黑中营业部</t>
  </si>
  <si>
    <t>大庆城区东所</t>
  </si>
  <si>
    <t>大庆城区西所</t>
  </si>
  <si>
    <t>海伦外埠所</t>
  </si>
  <si>
    <t>伊春外埠所</t>
  </si>
  <si>
    <t>肇东外埠所</t>
  </si>
  <si>
    <t>黑龙电商组(DY)</t>
  </si>
  <si>
    <t>黑龙电商所(DY)</t>
  </si>
  <si>
    <t>总体结果</t>
  </si>
  <si>
    <t>排名</t>
    <phoneticPr fontId="19" type="noConversion"/>
  </si>
  <si>
    <t>组织</t>
    <phoneticPr fontId="19" type="noConversion"/>
  </si>
  <si>
    <t>销量</t>
    <phoneticPr fontId="19" type="noConversion"/>
  </si>
  <si>
    <t>达成</t>
    <phoneticPr fontId="19" type="noConversion"/>
  </si>
  <si>
    <t>成长</t>
    <phoneticPr fontId="19" type="noConversion"/>
  </si>
  <si>
    <t>黑龙江</t>
    <phoneticPr fontId="19" type="noConversion"/>
  </si>
  <si>
    <t>绥化外埠所</t>
  </si>
  <si>
    <t/>
  </si>
  <si>
    <t>实际出货数量（+非领搭赠，自然箱）</t>
  </si>
  <si>
    <t>同比增长(数量)%（+非领搭赠，自然箱）</t>
  </si>
  <si>
    <t>目标出货数量(拆综合箱)(自然箱)</t>
  </si>
  <si>
    <t>#</t>
  </si>
  <si>
    <t>目标</t>
    <phoneticPr fontId="19" type="noConversion"/>
  </si>
  <si>
    <t>排单</t>
    <phoneticPr fontId="19" type="noConversion"/>
  </si>
  <si>
    <t>过账</t>
    <phoneticPr fontId="19" type="noConversion"/>
  </si>
  <si>
    <t>管理目标数量达成%(+非领搭赠换货，自然箱)</t>
  </si>
  <si>
    <t>同期实际出货数量（+非领搭赠，自然箱）</t>
  </si>
  <si>
    <t>2025.06</t>
  </si>
  <si>
    <t>同期</t>
    <phoneticPr fontId="19" type="noConversion"/>
  </si>
  <si>
    <t>累计排单数量（+非领搭赠，自然箱）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</si>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</sst>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_(* #,##0.00_);_(* \(#,##0.00\);_(* &quot;-&quot;??_);_(@_)"/>
    <numFmt numFmtId="177" formatCode="###,000"/>
    <numFmt numFmtId="178" formatCode="#,##0.000;\-#,##0.000;#,##0.000"/>
    <numFmt numFmtId="179" formatCode="#,##0.00&quot; &quot;%;\-#,##0.00&quot; &quot;%;#,##0.00&quot; &quot;%"/>
    <numFmt numFmtId="180" formatCode="0_);[Red]\(0\)"/>
    <numFmt numFmtId="181" formatCode="_(* #,##0.0_);_(* \(#,##0.0\);_(* &quot;-&quot;??_);_(@_)"/>
  </numFmts>
  <fonts count="3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8"/>
      <color rgb="FF000000"/>
      <name val="Arial"/>
      <family val="2"/>
    </font>
    <font>
      <sz val="9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thin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/>
      <right style="hair">
        <color theme="1" tint="0.499984740745262"/>
      </right>
      <top/>
      <bottom/>
      <diagonal/>
    </border>
    <border>
      <left style="thin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/>
      <right style="hair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/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/>
      <diagonal/>
    </border>
    <border>
      <left/>
      <right style="hair">
        <color theme="1" tint="0.499984740745262"/>
      </right>
      <top style="thin">
        <color theme="1" tint="0.499984740745262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/>
      <right/>
      <top style="thin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 style="hair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/>
      <bottom/>
      <diagonal/>
    </border>
    <border>
      <left style="hair">
        <color theme="1" tint="0.499984740745262"/>
      </left>
      <right/>
      <top/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/>
      <diagonal/>
    </border>
    <border>
      <left style="thin">
        <color rgb="FF808080"/>
      </left>
      <right style="thin">
        <color theme="3" tint="-0.24994659260841701"/>
      </right>
      <top style="thin">
        <color theme="3" tint="-0.24994659260841701"/>
      </top>
      <bottom style="thin">
        <color rgb="FF808080"/>
      </bottom>
      <diagonal/>
    </border>
  </borders>
  <cellStyleXfs count="8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2" fillId="37" borderId="31" applyNumberFormat="0" applyAlignment="0" applyProtection="0">
      <alignment horizontal="left" vertical="center" indent="1"/>
    </xf>
    <xf numFmtId="177" fontId="23" fillId="0" borderId="32" applyNumberFormat="0" applyProtection="0">
      <alignment horizontal="right" vertical="center"/>
    </xf>
    <xf numFmtId="177" fontId="22" fillId="0" borderId="33" applyNumberFormat="0" applyProtection="0">
      <alignment horizontal="right" vertical="center"/>
    </xf>
    <xf numFmtId="177" fontId="23" fillId="38" borderId="31" applyNumberFormat="0" applyAlignment="0" applyProtection="0">
      <alignment horizontal="left" vertical="center" indent="1"/>
    </xf>
    <xf numFmtId="0" fontId="24" fillId="39" borderId="33" applyNumberFormat="0" applyAlignment="0">
      <alignment horizontal="left" vertical="center" indent="1"/>
      <protection locked="0"/>
    </xf>
    <xf numFmtId="0" fontId="24" fillId="40" borderId="33" applyNumberFormat="0" applyAlignment="0" applyProtection="0">
      <alignment horizontal="left" vertical="center" indent="1"/>
    </xf>
    <xf numFmtId="177" fontId="23" fillId="41" borderId="32" applyNumberFormat="0" applyBorder="0">
      <alignment horizontal="right" vertical="center"/>
      <protection locked="0"/>
    </xf>
    <xf numFmtId="0" fontId="24" fillId="39" borderId="33" applyNumberFormat="0" applyAlignment="0">
      <alignment horizontal="left" vertical="center" indent="1"/>
      <protection locked="0"/>
    </xf>
    <xf numFmtId="177" fontId="22" fillId="40" borderId="33" applyNumberFormat="0" applyProtection="0">
      <alignment horizontal="right" vertical="center"/>
    </xf>
    <xf numFmtId="177" fontId="22" fillId="41" borderId="33" applyNumberFormat="0" applyBorder="0">
      <alignment horizontal="right" vertical="center"/>
      <protection locked="0"/>
    </xf>
    <xf numFmtId="177" fontId="25" fillId="42" borderId="34" applyNumberFormat="0" applyBorder="0" applyAlignment="0" applyProtection="0">
      <alignment horizontal="right" vertical="center" indent="1"/>
    </xf>
    <xf numFmtId="177" fontId="26" fillId="43" borderId="34" applyNumberFormat="0" applyBorder="0" applyAlignment="0" applyProtection="0">
      <alignment horizontal="right" vertical="center" indent="1"/>
    </xf>
    <xf numFmtId="177" fontId="26" fillId="44" borderId="34" applyNumberFormat="0" applyBorder="0" applyAlignment="0" applyProtection="0">
      <alignment horizontal="right" vertical="center" indent="1"/>
    </xf>
    <xf numFmtId="177" fontId="27" fillId="45" borderId="34" applyNumberFormat="0" applyBorder="0" applyAlignment="0" applyProtection="0">
      <alignment horizontal="right" vertical="center" indent="1"/>
    </xf>
    <xf numFmtId="177" fontId="27" fillId="46" borderId="34" applyNumberFormat="0" applyBorder="0" applyAlignment="0" applyProtection="0">
      <alignment horizontal="right" vertical="center" indent="1"/>
    </xf>
    <xf numFmtId="177" fontId="27" fillId="47" borderId="34" applyNumberFormat="0" applyBorder="0" applyAlignment="0" applyProtection="0">
      <alignment horizontal="right" vertical="center" indent="1"/>
    </xf>
    <xf numFmtId="177" fontId="28" fillId="48" borderId="34" applyNumberFormat="0" applyBorder="0" applyAlignment="0" applyProtection="0">
      <alignment horizontal="right" vertical="center" indent="1"/>
    </xf>
    <xf numFmtId="177" fontId="28" fillId="49" borderId="34" applyNumberFormat="0" applyBorder="0" applyAlignment="0" applyProtection="0">
      <alignment horizontal="right" vertical="center" indent="1"/>
    </xf>
    <xf numFmtId="177" fontId="28" fillId="50" borderId="34" applyNumberFormat="0" applyBorder="0" applyAlignment="0" applyProtection="0">
      <alignment horizontal="right" vertical="center" indent="1"/>
    </xf>
    <xf numFmtId="0" fontId="18" fillId="0" borderId="31" applyNumberFormat="0" applyFont="0" applyFill="0" applyAlignment="0" applyProtection="0"/>
    <xf numFmtId="177" fontId="29" fillId="38" borderId="0" applyNumberFormat="0" applyAlignment="0" applyProtection="0">
      <alignment horizontal="left" vertical="center" indent="1"/>
    </xf>
    <xf numFmtId="0" fontId="18" fillId="0" borderId="35" applyNumberFormat="0" applyFont="0" applyFill="0" applyAlignment="0" applyProtection="0"/>
    <xf numFmtId="177" fontId="23" fillId="0" borderId="32" applyNumberFormat="0" applyFill="0" applyBorder="0" applyAlignment="0" applyProtection="0">
      <alignment horizontal="right" vertical="center"/>
    </xf>
    <xf numFmtId="177" fontId="23" fillId="38" borderId="31" applyNumberFormat="0" applyAlignment="0" applyProtection="0">
      <alignment horizontal="left" vertical="center" indent="1"/>
    </xf>
    <xf numFmtId="0" fontId="22" fillId="37" borderId="33" applyNumberFormat="0" applyAlignment="0" applyProtection="0">
      <alignment horizontal="left" vertical="center" indent="1"/>
    </xf>
    <xf numFmtId="0" fontId="24" fillId="51" borderId="31" applyNumberFormat="0" applyAlignment="0" applyProtection="0">
      <alignment horizontal="left" vertical="center" indent="1"/>
    </xf>
    <xf numFmtId="0" fontId="24" fillId="52" borderId="31" applyNumberFormat="0" applyAlignment="0" applyProtection="0">
      <alignment horizontal="left" vertical="center" indent="1"/>
    </xf>
    <xf numFmtId="0" fontId="24" fillId="53" borderId="31" applyNumberFormat="0" applyAlignment="0" applyProtection="0">
      <alignment horizontal="left" vertical="center" indent="1"/>
    </xf>
    <xf numFmtId="0" fontId="24" fillId="41" borderId="31" applyNumberFormat="0" applyAlignment="0" applyProtection="0">
      <alignment horizontal="left" vertical="center" indent="1"/>
    </xf>
    <xf numFmtId="0" fontId="24" fillId="40" borderId="33" applyNumberFormat="0" applyAlignment="0" applyProtection="0">
      <alignment horizontal="left" vertical="center" indent="1"/>
    </xf>
    <xf numFmtId="0" fontId="30" fillId="0" borderId="36" applyNumberFormat="0" applyFill="0" applyBorder="0" applyAlignment="0" applyProtection="0"/>
    <xf numFmtId="0" fontId="31" fillId="0" borderId="36" applyNumberFormat="0" applyBorder="0" applyAlignment="0" applyProtection="0"/>
    <xf numFmtId="0" fontId="30" fillId="39" borderId="33" applyNumberFormat="0" applyAlignment="0">
      <alignment horizontal="left" vertical="center" indent="1"/>
      <protection locked="0"/>
    </xf>
    <xf numFmtId="0" fontId="30" fillId="39" borderId="33" applyNumberFormat="0" applyAlignment="0">
      <alignment horizontal="left" vertical="center" indent="1"/>
      <protection locked="0"/>
    </xf>
    <xf numFmtId="0" fontId="30" fillId="40" borderId="33" applyNumberFormat="0" applyAlignment="0" applyProtection="0">
      <alignment horizontal="left" vertical="center" indent="1"/>
    </xf>
    <xf numFmtId="177" fontId="32" fillId="40" borderId="33" applyNumberFormat="0" applyProtection="0">
      <alignment horizontal="right" vertical="center"/>
    </xf>
    <xf numFmtId="177" fontId="33" fillId="41" borderId="32" applyNumberFormat="0" applyBorder="0">
      <alignment horizontal="right" vertical="center"/>
      <protection locked="0"/>
    </xf>
    <xf numFmtId="177" fontId="32" fillId="41" borderId="33" applyNumberFormat="0" applyBorder="0">
      <alignment horizontal="right" vertical="center"/>
      <protection locked="0"/>
    </xf>
    <xf numFmtId="177" fontId="23" fillId="0" borderId="32" applyNumberFormat="0" applyFill="0" applyBorder="0" applyAlignment="0" applyProtection="0">
      <alignment horizontal="right" vertical="center"/>
    </xf>
  </cellStyleXfs>
  <cellXfs count="94">
    <xf numFmtId="0" fontId="0" fillId="0" borderId="0" xfId="0">
      <alignment vertical="center"/>
    </xf>
    <xf numFmtId="0" fontId="21" fillId="34" borderId="19" xfId="0" applyFont="1" applyFill="1" applyBorder="1" applyAlignment="1">
      <alignment horizontal="center" vertical="center"/>
    </xf>
    <xf numFmtId="0" fontId="21" fillId="34" borderId="20" xfId="0" applyFont="1" applyFill="1" applyBorder="1" applyAlignment="1">
      <alignment horizontal="center" vertical="center"/>
    </xf>
    <xf numFmtId="9" fontId="21" fillId="34" borderId="21" xfId="2" applyFont="1" applyFill="1" applyBorder="1">
      <alignment vertical="center"/>
    </xf>
    <xf numFmtId="9" fontId="21" fillId="0" borderId="20" xfId="2" applyFont="1" applyBorder="1">
      <alignment vertical="center"/>
    </xf>
    <xf numFmtId="0" fontId="21" fillId="34" borderId="23" xfId="0" applyFont="1" applyFill="1" applyBorder="1" applyAlignment="1">
      <alignment horizontal="center" vertical="center"/>
    </xf>
    <xf numFmtId="0" fontId="21" fillId="34" borderId="24" xfId="0" applyFont="1" applyFill="1" applyBorder="1" applyAlignment="1">
      <alignment horizontal="center" vertical="center"/>
    </xf>
    <xf numFmtId="9" fontId="21" fillId="34" borderId="25" xfId="2" applyFont="1" applyFill="1" applyBorder="1">
      <alignment vertical="center"/>
    </xf>
    <xf numFmtId="0" fontId="21" fillId="34" borderId="27" xfId="0" applyFont="1" applyFill="1" applyBorder="1" applyAlignment="1">
      <alignment horizontal="center" vertical="center"/>
    </xf>
    <xf numFmtId="0" fontId="21" fillId="34" borderId="28" xfId="0" applyFont="1" applyFill="1" applyBorder="1" applyAlignment="1">
      <alignment horizontal="center" vertical="center"/>
    </xf>
    <xf numFmtId="9" fontId="21" fillId="34" borderId="29" xfId="2" applyFont="1" applyFill="1" applyBorder="1">
      <alignment vertical="center"/>
    </xf>
    <xf numFmtId="9" fontId="21" fillId="0" borderId="28" xfId="2" applyFont="1" applyBorder="1">
      <alignment vertical="center"/>
    </xf>
    <xf numFmtId="9" fontId="21" fillId="0" borderId="24" xfId="2" applyFont="1" applyBorder="1" applyAlignment="1">
      <alignment horizontal="right" vertical="center"/>
    </xf>
    <xf numFmtId="9" fontId="20" fillId="35" borderId="17" xfId="2" applyFont="1" applyFill="1" applyBorder="1">
      <alignment vertical="center"/>
    </xf>
    <xf numFmtId="0" fontId="21" fillId="33" borderId="19" xfId="0" applyFont="1" applyFill="1" applyBorder="1" applyAlignment="1">
      <alignment horizontal="center" vertical="center"/>
    </xf>
    <xf numFmtId="0" fontId="21" fillId="33" borderId="20" xfId="0" applyFont="1" applyFill="1" applyBorder="1" applyAlignment="1">
      <alignment horizontal="center" vertical="center"/>
    </xf>
    <xf numFmtId="9" fontId="21" fillId="33" borderId="21" xfId="2" applyFont="1" applyFill="1" applyBorder="1">
      <alignment vertical="center"/>
    </xf>
    <xf numFmtId="9" fontId="21" fillId="33" borderId="20" xfId="2" applyFont="1" applyFill="1" applyBorder="1">
      <alignment vertical="center"/>
    </xf>
    <xf numFmtId="0" fontId="21" fillId="33" borderId="23" xfId="0" applyFont="1" applyFill="1" applyBorder="1" applyAlignment="1">
      <alignment horizontal="center" vertical="center"/>
    </xf>
    <xf numFmtId="0" fontId="21" fillId="33" borderId="24" xfId="0" applyFont="1" applyFill="1" applyBorder="1" applyAlignment="1">
      <alignment horizontal="center" vertical="center"/>
    </xf>
    <xf numFmtId="9" fontId="21" fillId="33" borderId="25" xfId="2" applyFont="1" applyFill="1" applyBorder="1">
      <alignment vertical="center"/>
    </xf>
    <xf numFmtId="9" fontId="21" fillId="33" borderId="24" xfId="2" applyFont="1" applyFill="1" applyBorder="1">
      <alignment vertical="center"/>
    </xf>
    <xf numFmtId="9" fontId="21" fillId="0" borderId="20" xfId="2" applyFont="1" applyBorder="1" applyAlignment="1">
      <alignment horizontal="right" vertical="center"/>
    </xf>
    <xf numFmtId="178" fontId="23" fillId="0" borderId="32" xfId="45" applyNumberFormat="1">
      <alignment horizontal="right" vertical="center"/>
    </xf>
    <xf numFmtId="178" fontId="22" fillId="0" borderId="33" xfId="46" applyNumberFormat="1">
      <alignment horizontal="right" vertical="center"/>
    </xf>
    <xf numFmtId="178" fontId="22" fillId="0" borderId="37" xfId="46" applyNumberFormat="1" applyBorder="1">
      <alignment horizontal="right" vertical="center"/>
    </xf>
    <xf numFmtId="0" fontId="22" fillId="37" borderId="31" xfId="44" quotePrefix="1" applyNumberFormat="1" applyBorder="1" applyAlignment="1">
      <alignment vertical="center"/>
    </xf>
    <xf numFmtId="0" fontId="23" fillId="38" borderId="31" xfId="67" quotePrefix="1" applyNumberFormat="1" applyBorder="1" applyAlignment="1">
      <alignment vertical="center"/>
    </xf>
    <xf numFmtId="0" fontId="22" fillId="37" borderId="40" xfId="68" applyNumberFormat="1" applyBorder="1" applyAlignment="1">
      <alignment vertical="center"/>
    </xf>
    <xf numFmtId="0" fontId="22" fillId="37" borderId="41" xfId="68" quotePrefix="1" applyNumberFormat="1" applyBorder="1" applyAlignment="1">
      <alignment vertical="center"/>
    </xf>
    <xf numFmtId="0" fontId="22" fillId="37" borderId="38" xfId="68" quotePrefix="1" applyNumberFormat="1" applyBorder="1" applyAlignment="1">
      <alignment vertical="center"/>
    </xf>
    <xf numFmtId="179" fontId="0" fillId="0" borderId="0" xfId="0" applyNumberFormat="1">
      <alignment vertical="center"/>
    </xf>
    <xf numFmtId="179" fontId="23" fillId="0" borderId="39" xfId="45" applyNumberFormat="1" applyBorder="1">
      <alignment horizontal="right" vertical="center"/>
    </xf>
    <xf numFmtId="179" fontId="22" fillId="0" borderId="41" xfId="46" applyNumberFormat="1" applyBorder="1">
      <alignment horizontal="right" vertical="center"/>
    </xf>
    <xf numFmtId="179" fontId="22" fillId="0" borderId="40" xfId="46" applyNumberFormat="1" applyBorder="1">
      <alignment horizontal="right" vertical="center"/>
    </xf>
    <xf numFmtId="39" fontId="23" fillId="0" borderId="32" xfId="45" applyNumberFormat="1">
      <alignment horizontal="right" vertical="center"/>
    </xf>
    <xf numFmtId="39" fontId="22" fillId="0" borderId="33" xfId="46" applyNumberFormat="1">
      <alignment horizontal="right" vertical="center"/>
    </xf>
    <xf numFmtId="39" fontId="22" fillId="0" borderId="37" xfId="46" applyNumberFormat="1" applyBorder="1">
      <alignment horizontal="right" vertical="center"/>
    </xf>
    <xf numFmtId="178" fontId="22" fillId="0" borderId="41" xfId="46" applyNumberFormat="1" applyBorder="1">
      <alignment horizontal="right" vertical="center"/>
    </xf>
    <xf numFmtId="178" fontId="22" fillId="0" borderId="40" xfId="46" applyNumberFormat="1" applyBorder="1">
      <alignment horizontal="right" vertical="center"/>
    </xf>
    <xf numFmtId="0" fontId="23" fillId="38" borderId="31" xfId="67" quotePrefix="1" applyNumberFormat="1" applyAlignment="1">
      <alignment vertical="center"/>
    </xf>
    <xf numFmtId="179" fontId="23" fillId="0" borderId="32" xfId="45" applyNumberFormat="1">
      <alignment horizontal="right" vertical="center"/>
    </xf>
    <xf numFmtId="179" fontId="22" fillId="0" borderId="33" xfId="46" applyNumberFormat="1">
      <alignment horizontal="right" vertical="center"/>
    </xf>
    <xf numFmtId="179" fontId="22" fillId="0" borderId="37" xfId="46" applyNumberFormat="1" applyBorder="1">
      <alignment horizontal="right" vertical="center"/>
    </xf>
    <xf numFmtId="0" fontId="22" fillId="37" borderId="55" xfId="68" quotePrefix="1" applyNumberFormat="1" applyBorder="1" applyAlignment="1">
      <alignment vertical="center"/>
    </xf>
    <xf numFmtId="0" fontId="22" fillId="37" borderId="40" xfId="68" quotePrefix="1" applyNumberFormat="1" applyBorder="1" applyAlignment="1">
      <alignment vertical="center"/>
    </xf>
    <xf numFmtId="180" fontId="0" fillId="0" borderId="0" xfId="0" applyNumberFormat="1">
      <alignment vertical="center"/>
    </xf>
    <xf numFmtId="181" fontId="20" fillId="35" borderId="42" xfId="1" applyNumberFormat="1" applyFont="1" applyFill="1" applyBorder="1">
      <alignment vertical="center"/>
    </xf>
    <xf numFmtId="181" fontId="20" fillId="35" borderId="18" xfId="1" applyNumberFormat="1" applyFont="1" applyFill="1" applyBorder="1">
      <alignment vertical="center"/>
    </xf>
    <xf numFmtId="181" fontId="21" fillId="33" borderId="46" xfId="1" applyNumberFormat="1" applyFont="1" applyFill="1" applyBorder="1">
      <alignment vertical="center"/>
    </xf>
    <xf numFmtId="181" fontId="21" fillId="33" borderId="22" xfId="1" applyNumberFormat="1" applyFont="1" applyFill="1" applyBorder="1">
      <alignment vertical="center"/>
    </xf>
    <xf numFmtId="181" fontId="21" fillId="33" borderId="45" xfId="1" applyNumberFormat="1" applyFont="1" applyFill="1" applyBorder="1">
      <alignment vertical="center"/>
    </xf>
    <xf numFmtId="181" fontId="21" fillId="33" borderId="26" xfId="1" applyNumberFormat="1" applyFont="1" applyFill="1" applyBorder="1">
      <alignment vertical="center"/>
    </xf>
    <xf numFmtId="181" fontId="21" fillId="34" borderId="44" xfId="1" applyNumberFormat="1" applyFont="1" applyFill="1" applyBorder="1">
      <alignment vertical="center"/>
    </xf>
    <xf numFmtId="181" fontId="21" fillId="34" borderId="30" xfId="1" applyNumberFormat="1" applyFont="1" applyFill="1" applyBorder="1">
      <alignment vertical="center"/>
    </xf>
    <xf numFmtId="181" fontId="21" fillId="34" borderId="46" xfId="1" applyNumberFormat="1" applyFont="1" applyFill="1" applyBorder="1">
      <alignment vertical="center"/>
    </xf>
    <xf numFmtId="181" fontId="21" fillId="34" borderId="22" xfId="1" applyNumberFormat="1" applyFont="1" applyFill="1" applyBorder="1">
      <alignment vertical="center"/>
    </xf>
    <xf numFmtId="181" fontId="21" fillId="34" borderId="45" xfId="1" applyNumberFormat="1" applyFont="1" applyFill="1" applyBorder="1">
      <alignment vertical="center"/>
    </xf>
    <xf numFmtId="181" fontId="21" fillId="34" borderId="26" xfId="1" applyNumberFormat="1" applyFont="1" applyFill="1" applyBorder="1">
      <alignment vertical="center"/>
    </xf>
    <xf numFmtId="181" fontId="20" fillId="35" borderId="17" xfId="1" applyNumberFormat="1" applyFont="1" applyFill="1" applyBorder="1">
      <alignment vertical="center"/>
    </xf>
    <xf numFmtId="181" fontId="21" fillId="33" borderId="21" xfId="1" applyNumberFormat="1" applyFont="1" applyFill="1" applyBorder="1">
      <alignment vertical="center"/>
    </xf>
    <xf numFmtId="181" fontId="21" fillId="33" borderId="25" xfId="1" applyNumberFormat="1" applyFont="1" applyFill="1" applyBorder="1">
      <alignment vertical="center"/>
    </xf>
    <xf numFmtId="181" fontId="21" fillId="34" borderId="29" xfId="1" applyNumberFormat="1" applyFont="1" applyFill="1" applyBorder="1">
      <alignment vertical="center"/>
    </xf>
    <xf numFmtId="181" fontId="21" fillId="34" borderId="21" xfId="1" applyNumberFormat="1" applyFont="1" applyFill="1" applyBorder="1">
      <alignment vertical="center"/>
    </xf>
    <xf numFmtId="181" fontId="21" fillId="34" borderId="25" xfId="1" applyNumberFormat="1" applyFont="1" applyFill="1" applyBorder="1">
      <alignment vertical="center"/>
    </xf>
    <xf numFmtId="181" fontId="20" fillId="35" borderId="51" xfId="1" applyNumberFormat="1" applyFont="1" applyFill="1" applyBorder="1">
      <alignment vertical="center"/>
    </xf>
    <xf numFmtId="181" fontId="21" fillId="33" borderId="52" xfId="1" applyNumberFormat="1" applyFont="1" applyFill="1" applyBorder="1">
      <alignment vertical="center"/>
    </xf>
    <xf numFmtId="181" fontId="21" fillId="33" borderId="53" xfId="1" applyNumberFormat="1" applyFont="1" applyFill="1" applyBorder="1">
      <alignment vertical="center"/>
    </xf>
    <xf numFmtId="181" fontId="21" fillId="34" borderId="54" xfId="1" applyNumberFormat="1" applyFont="1" applyFill="1" applyBorder="1">
      <alignment vertical="center"/>
    </xf>
    <xf numFmtId="181" fontId="21" fillId="34" borderId="52" xfId="1" applyNumberFormat="1" applyFont="1" applyFill="1" applyBorder="1">
      <alignment vertical="center"/>
    </xf>
    <xf numFmtId="181" fontId="21" fillId="34" borderId="53" xfId="1" applyNumberFormat="1" applyFont="1" applyFill="1" applyBorder="1">
      <alignment vertical="center"/>
    </xf>
    <xf numFmtId="9" fontId="20" fillId="35" borderId="16" xfId="2" applyFont="1" applyFill="1" applyBorder="1">
      <alignment vertical="center"/>
    </xf>
    <xf numFmtId="0" fontId="21" fillId="0" borderId="0" xfId="0" applyFont="1">
      <alignment vertical="center"/>
    </xf>
    <xf numFmtId="0" fontId="20" fillId="54" borderId="43" xfId="0" applyFont="1" applyFill="1" applyBorder="1" applyAlignment="1">
      <alignment horizontal="center" vertical="center"/>
    </xf>
    <xf numFmtId="0" fontId="20" fillId="54" borderId="14" xfId="0" applyFont="1" applyFill="1" applyBorder="1" applyAlignment="1">
      <alignment horizontal="center" vertical="center"/>
    </xf>
    <xf numFmtId="0" fontId="20" fillId="54" borderId="13" xfId="0" applyFont="1" applyFill="1" applyBorder="1" applyAlignment="1">
      <alignment horizontal="center" vertical="center"/>
    </xf>
    <xf numFmtId="0" fontId="20" fillId="55" borderId="14" xfId="0" applyFont="1" applyFill="1" applyBorder="1" applyAlignment="1">
      <alignment horizontal="center" vertical="center"/>
    </xf>
    <xf numFmtId="0" fontId="20" fillId="55" borderId="50" xfId="0" applyFont="1" applyFill="1" applyBorder="1" applyAlignment="1">
      <alignment horizontal="center" vertical="center"/>
    </xf>
    <xf numFmtId="0" fontId="20" fillId="55" borderId="13" xfId="0" applyFont="1" applyFill="1" applyBorder="1" applyAlignment="1">
      <alignment horizontal="center" vertical="center"/>
    </xf>
    <xf numFmtId="0" fontId="20" fillId="54" borderId="47" xfId="0" applyFont="1" applyFill="1" applyBorder="1" applyAlignment="1">
      <alignment horizontal="center" vertical="center"/>
    </xf>
    <xf numFmtId="0" fontId="20" fillId="54" borderId="48" xfId="0" applyFont="1" applyFill="1" applyBorder="1" applyAlignment="1">
      <alignment horizontal="center" vertical="center"/>
    </xf>
    <xf numFmtId="0" fontId="20" fillId="54" borderId="49" xfId="0" applyFont="1" applyFill="1" applyBorder="1" applyAlignment="1">
      <alignment horizontal="center" vertical="center"/>
    </xf>
    <xf numFmtId="0" fontId="20" fillId="55" borderId="47" xfId="0" applyFont="1" applyFill="1" applyBorder="1" applyAlignment="1">
      <alignment horizontal="center" vertical="center"/>
    </xf>
    <xf numFmtId="0" fontId="20" fillId="55" borderId="48" xfId="0" applyFont="1" applyFill="1" applyBorder="1" applyAlignment="1">
      <alignment horizontal="center" vertical="center"/>
    </xf>
    <xf numFmtId="0" fontId="20" fillId="55" borderId="49" xfId="0" applyFont="1" applyFill="1" applyBorder="1" applyAlignment="1">
      <alignment horizontal="center" vertical="center"/>
    </xf>
    <xf numFmtId="0" fontId="20" fillId="36" borderId="10" xfId="0" applyFont="1" applyFill="1" applyBorder="1" applyAlignment="1">
      <alignment horizontal="center" vertical="center"/>
    </xf>
    <xf numFmtId="0" fontId="20" fillId="36" borderId="12" xfId="0" applyFont="1" applyFill="1" applyBorder="1" applyAlignment="1">
      <alignment horizontal="center" vertical="center"/>
    </xf>
    <xf numFmtId="0" fontId="20" fillId="36" borderId="11" xfId="0" applyFont="1" applyFill="1" applyBorder="1" applyAlignment="1">
      <alignment horizontal="center" vertical="center"/>
    </xf>
    <xf numFmtId="0" fontId="20" fillId="36" borderId="13" xfId="0" applyFont="1" applyFill="1" applyBorder="1" applyAlignment="1">
      <alignment horizontal="center" vertical="center"/>
    </xf>
    <xf numFmtId="0" fontId="20" fillId="35" borderId="15" xfId="0" applyFont="1" applyFill="1" applyBorder="1" applyAlignment="1">
      <alignment horizontal="center" vertical="center"/>
    </xf>
    <xf numFmtId="0" fontId="20" fillId="35" borderId="16" xfId="0" applyFont="1" applyFill="1" applyBorder="1" applyAlignment="1">
      <alignment horizontal="center" vertical="center"/>
    </xf>
    <xf numFmtId="0" fontId="20" fillId="36" borderId="44" xfId="0" applyFont="1" applyFill="1" applyBorder="1" applyAlignment="1">
      <alignment horizontal="center" vertical="center"/>
    </xf>
    <xf numFmtId="0" fontId="20" fillId="36" borderId="45" xfId="0" applyFont="1" applyFill="1" applyBorder="1" applyAlignment="1">
      <alignment horizontal="center" vertical="center"/>
    </xf>
    <xf numFmtId="39" fontId="23" fillId="0" borderId="39" xfId="45" applyNumberFormat="1" applyBorder="1">
      <alignment horizontal="right" vertical="center"/>
    </xf>
  </cellXfs>
  <cellStyles count="83">
    <cellStyle name="20% - 着色 1" xfId="21" builtinId="30" customBuiltin="1"/>
    <cellStyle name="20% - 着色 2" xfId="25" builtinId="34" customBuiltin="1"/>
    <cellStyle name="20% - 着色 3" xfId="29" builtinId="38" customBuiltin="1"/>
    <cellStyle name="20% - 着色 4" xfId="33" builtinId="42" customBuiltin="1"/>
    <cellStyle name="20% - 着色 5" xfId="37" builtinId="46" customBuiltin="1"/>
    <cellStyle name="20% - 着色 6" xfId="41" builtinId="50" customBuiltin="1"/>
    <cellStyle name="40% - 着色 1" xfId="22" builtinId="31" customBuiltin="1"/>
    <cellStyle name="40% - 着色 2" xfId="26" builtinId="35" customBuiltin="1"/>
    <cellStyle name="40% - 着色 3" xfId="30" builtinId="39" customBuiltin="1"/>
    <cellStyle name="40% - 着色 4" xfId="34" builtinId="43" customBuiltin="1"/>
    <cellStyle name="40% - 着色 5" xfId="38" builtinId="47" customBuiltin="1"/>
    <cellStyle name="40% - 着色 6" xfId="42" builtinId="51" customBuiltin="1"/>
    <cellStyle name="60% - 着色 1" xfId="23" builtinId="32" customBuiltin="1"/>
    <cellStyle name="60% - 着色 2" xfId="27" builtinId="36" customBuiltin="1"/>
    <cellStyle name="60% - 着色 3" xfId="31" builtinId="40" customBuiltin="1"/>
    <cellStyle name="60% - 着色 4" xfId="35" builtinId="44" customBuiltin="1"/>
    <cellStyle name="60% - 着色 5" xfId="39" builtinId="48" customBuiltin="1"/>
    <cellStyle name="60% - 着色 6" xfId="43" builtinId="52" customBuiltin="1"/>
    <cellStyle name="SAPBorder" xfId="63"/>
    <cellStyle name="SAPDataCell" xfId="45"/>
    <cellStyle name="SAPDataRemoved" xfId="64"/>
    <cellStyle name="SAPDataTotalCell" xfId="46"/>
    <cellStyle name="SAPDimensionCell" xfId="44"/>
    <cellStyle name="SAPEditableDataCell" xfId="48"/>
    <cellStyle name="SAPEditableDataTotalCell" xfId="51"/>
    <cellStyle name="SAPEmphasized" xfId="74"/>
    <cellStyle name="SAPEmphasizedEditableDataCell" xfId="76"/>
    <cellStyle name="SAPEmphasizedEditableDataTotalCell" xfId="77"/>
    <cellStyle name="SAPEmphasizedLockedDataCell" xfId="80"/>
    <cellStyle name="SAPEmphasizedLockedDataTotalCell" xfId="81"/>
    <cellStyle name="SAPEmphasizedReadonlyDataCell" xfId="78"/>
    <cellStyle name="SAPEmphasizedReadonlyDataTotalCell" xfId="79"/>
    <cellStyle name="SAPEmphasizedTotal" xfId="75"/>
    <cellStyle name="SAPError" xfId="65"/>
    <cellStyle name="SAPExceptionLevel1" xfId="54"/>
    <cellStyle name="SAPExceptionLevel2" xfId="55"/>
    <cellStyle name="SAPExceptionLevel3" xfId="56"/>
    <cellStyle name="SAPExceptionLevel4" xfId="57"/>
    <cellStyle name="SAPExceptionLevel5" xfId="58"/>
    <cellStyle name="SAPExceptionLevel6" xfId="59"/>
    <cellStyle name="SAPExceptionLevel7" xfId="60"/>
    <cellStyle name="SAPExceptionLevel8" xfId="61"/>
    <cellStyle name="SAPExceptionLevel9" xfId="62"/>
    <cellStyle name="SAPFormula" xfId="82"/>
    <cellStyle name="SAPGroupingFillCell" xfId="47"/>
    <cellStyle name="SAPHierarchyCell0" xfId="69"/>
    <cellStyle name="SAPHierarchyCell1" xfId="70"/>
    <cellStyle name="SAPHierarchyCell2" xfId="71"/>
    <cellStyle name="SAPHierarchyCell3" xfId="72"/>
    <cellStyle name="SAPHierarchyCell4" xfId="73"/>
    <cellStyle name="SAPLockedDataCell" xfId="50"/>
    <cellStyle name="SAPLockedDataTotalCell" xfId="53"/>
    <cellStyle name="SAPMemberCell" xfId="67"/>
    <cellStyle name="SAPMemberTotalCell" xfId="68"/>
    <cellStyle name="SAPMessageText" xfId="66"/>
    <cellStyle name="SAPReadonlyDataCell" xfId="49"/>
    <cellStyle name="SAPReadonlyDataTotalCell" xfId="52"/>
    <cellStyle name="百分比" xfId="2" builtinId="5"/>
    <cellStyle name="标题" xfId="3" builtinId="15" customBuiltin="1"/>
    <cellStyle name="标题 1" xfId="4" builtinId="16" customBuiltin="1"/>
    <cellStyle name="标题 2" xfId="5" builtinId="17" customBuiltin="1"/>
    <cellStyle name="标题 3" xfId="6" builtinId="18" customBuiltin="1"/>
    <cellStyle name="标题 4" xfId="7" builtinId="19" customBuiltin="1"/>
    <cellStyle name="差" xfId="9" builtinId="27" customBuiltin="1"/>
    <cellStyle name="常规" xfId="0" builtinId="0"/>
    <cellStyle name="好" xfId="8" builtinId="26" customBuiltin="1"/>
    <cellStyle name="汇总" xfId="19" builtinId="25" customBuiltin="1"/>
    <cellStyle name="计算" xfId="13" builtinId="22" customBuiltin="1"/>
    <cellStyle name="检查单元格" xfId="15" builtinId="23" customBuiltin="1"/>
    <cellStyle name="解释性文本" xfId="18" builtinId="53" customBuiltin="1"/>
    <cellStyle name="警告文本" xfId="16" builtinId="11" customBuiltin="1"/>
    <cellStyle name="链接单元格" xfId="14" builtinId="24" customBuiltin="1"/>
    <cellStyle name="千位分隔" xfId="1" builtinId="3"/>
    <cellStyle name="适中" xfId="10" builtinId="28" customBuiltin="1"/>
    <cellStyle name="输出" xfId="12" builtinId="21" customBuiltin="1"/>
    <cellStyle name="输入" xfId="11" builtinId="20" customBuiltin="1"/>
    <cellStyle name="着色 1" xfId="20" builtinId="29" customBuiltin="1"/>
    <cellStyle name="着色 2" xfId="24" builtinId="33" customBuiltin="1"/>
    <cellStyle name="着色 3" xfId="28" builtinId="37" customBuiltin="1"/>
    <cellStyle name="着色 4" xfId="32" builtinId="41" customBuiltin="1"/>
    <cellStyle name="着色 5" xfId="36" builtinId="45" customBuiltin="1"/>
    <cellStyle name="着色 6" xfId="40" builtinId="49" customBuiltin="1"/>
    <cellStyle name="注释" xfId="17" builtinId="10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9" type="noConversion"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4"/>
  <sheetViews>
    <sheetView showGridLines="0" tabSelected="1" workbookViewId="0">
      <selection activeCell="B2" sqref="B2:K34"/>
    </sheetView>
  </sheetViews>
  <sheetFormatPr defaultRowHeight="16.5" outlineLevelCol="1" x14ac:dyDescent="0.2"/>
  <cols>
    <col min="1" max="2" width="9" style="72"/>
    <col min="3" max="3" width="17.625" style="72" customWidth="1"/>
    <col min="4" max="9" width="9" style="72"/>
    <col min="10" max="10" width="0" style="72" hidden="1" customWidth="1" outlineLevel="1"/>
    <col min="11" max="11" width="9" style="72" collapsed="1"/>
    <col min="12" max="16384" width="9" style="72"/>
  </cols>
  <sheetData>
    <row r="2" spans="2:11" x14ac:dyDescent="0.2">
      <c r="B2" s="85" t="s">
        <v>37</v>
      </c>
      <c r="C2" s="87" t="s">
        <v>38</v>
      </c>
      <c r="D2" s="91" t="s">
        <v>49</v>
      </c>
      <c r="E2" s="79" t="s">
        <v>50</v>
      </c>
      <c r="F2" s="80"/>
      <c r="G2" s="81"/>
      <c r="H2" s="82" t="s">
        <v>51</v>
      </c>
      <c r="I2" s="83"/>
      <c r="J2" s="83"/>
      <c r="K2" s="84"/>
    </row>
    <row r="3" spans="2:11" x14ac:dyDescent="0.2">
      <c r="B3" s="86"/>
      <c r="C3" s="88"/>
      <c r="D3" s="92"/>
      <c r="E3" s="73" t="s">
        <v>39</v>
      </c>
      <c r="F3" s="74" t="s">
        <v>40</v>
      </c>
      <c r="G3" s="75" t="s">
        <v>41</v>
      </c>
      <c r="H3" s="76" t="s">
        <v>39</v>
      </c>
      <c r="I3" s="76" t="s">
        <v>40</v>
      </c>
      <c r="J3" s="77" t="s">
        <v>55</v>
      </c>
      <c r="K3" s="78" t="s">
        <v>41</v>
      </c>
    </row>
    <row r="4" spans="2:11" x14ac:dyDescent="0.2">
      <c r="B4" s="89" t="s">
        <v>42</v>
      </c>
      <c r="C4" s="90"/>
      <c r="D4" s="47">
        <f>Sheet2!G37</f>
        <v>7.6</v>
      </c>
      <c r="E4" s="48">
        <f>Sheet2!O22</f>
        <v>0.318</v>
      </c>
      <c r="F4" s="13">
        <f>IFERROR(E4/D4,"")</f>
        <v>4.1842105263157896E-2</v>
      </c>
      <c r="G4" s="71">
        <f>IFERROR(E4/J4,"")</f>
        <v>3.9056742815033164E-2</v>
      </c>
      <c r="H4" s="59">
        <f>Sheet2!H37</f>
        <v>0.33900000000000002</v>
      </c>
      <c r="I4" s="13">
        <f>Sheet2!I37</f>
        <v>4.4605263157894696E-2</v>
      </c>
      <c r="J4" s="65">
        <f>Sheet2!J37</f>
        <v>8.1419999999999995</v>
      </c>
      <c r="K4" s="71">
        <f>Sheet2!K37</f>
        <v>-0.95836403831982298</v>
      </c>
    </row>
    <row r="5" spans="2:11" x14ac:dyDescent="0.2">
      <c r="B5" s="14">
        <v>1</v>
      </c>
      <c r="C5" s="15" t="str">
        <f>VLOOKUP($B5,Sheet2!$A:$K,COLUMN(Sheet2!E$39),0)</f>
        <v>哈尔滨营业部</v>
      </c>
      <c r="D5" s="49">
        <f>VLOOKUP($B5,Sheet2!$A:$K,COLUMN(Sheet2!G$39),0)</f>
        <v>13.24</v>
      </c>
      <c r="E5" s="50">
        <f>IFERROR(VLOOKUP(C5,Sheet2!L:P,4,0),"")</f>
        <v>1.7889999999999999</v>
      </c>
      <c r="F5" s="16">
        <f t="shared" ref="F5:F34" si="0">IFERROR(E5/D5,"")</f>
        <v>0.13512084592145016</v>
      </c>
      <c r="G5" s="17">
        <f t="shared" ref="G5:G34" si="1">IFERROR(E5/J5,"")</f>
        <v>0.15917786279918139</v>
      </c>
      <c r="H5" s="60">
        <f>VLOOKUP($B5,Sheet2!$A:$K,COLUMN(Sheet2!H$39),0)</f>
        <v>2.7370000000000001</v>
      </c>
      <c r="I5" s="16">
        <f>VLOOKUP($B5,Sheet2!$A:$K,COLUMN(Sheet2!I$39),0)</f>
        <v>0.20672205438066499</v>
      </c>
      <c r="J5" s="66">
        <f>VLOOKUP($B5,Sheet2!$A:$K,COLUMN(Sheet2!J$39),0)</f>
        <v>11.239000000000001</v>
      </c>
      <c r="K5" s="17">
        <f>VLOOKUP($B5,Sheet2!$A:$K,COLUMN(Sheet2!K$39),0)</f>
        <v>-0.75647299581813299</v>
      </c>
    </row>
    <row r="6" spans="2:11" x14ac:dyDescent="0.2">
      <c r="B6" s="14">
        <v>2</v>
      </c>
      <c r="C6" s="15" t="str">
        <f>VLOOKUP($B6,Sheet2!$A:$K,COLUMN(Sheet2!E$39),0)</f>
        <v>黑东营业部</v>
      </c>
      <c r="D6" s="49">
        <f>VLOOKUP($B6,Sheet2!$A:$K,COLUMN(Sheet2!G$39),0)</f>
        <v>8</v>
      </c>
      <c r="E6" s="50">
        <f>IFERROR(VLOOKUP(C6,Sheet2!L:P,4,0),"")</f>
        <v>0.64700000000000002</v>
      </c>
      <c r="F6" s="16">
        <f t="shared" ref="F6:F9" si="2">IFERROR(E6/D6,"")</f>
        <v>8.0875000000000002E-2</v>
      </c>
      <c r="G6" s="17">
        <f t="shared" ref="G6:G9" si="3">IFERROR(E6/J6,"")</f>
        <v>7.5645972173506368E-2</v>
      </c>
      <c r="H6" s="60">
        <f>VLOOKUP($B6,Sheet2!$A:$K,COLUMN(Sheet2!H$39),0)</f>
        <v>0.623</v>
      </c>
      <c r="I6" s="16">
        <f>VLOOKUP($B6,Sheet2!$A:$K,COLUMN(Sheet2!I$39),0)</f>
        <v>7.7875E-2</v>
      </c>
      <c r="J6" s="66">
        <f>VLOOKUP($B6,Sheet2!$A:$K,COLUMN(Sheet2!J$39),0)</f>
        <v>8.5530000000000008</v>
      </c>
      <c r="K6" s="17">
        <f>VLOOKUP($B6,Sheet2!$A:$K,COLUMN(Sheet2!K$39),0)</f>
        <v>-0.92716006079738089</v>
      </c>
    </row>
    <row r="7" spans="2:11" x14ac:dyDescent="0.2">
      <c r="B7" s="14">
        <v>3</v>
      </c>
      <c r="C7" s="15" t="str">
        <f>VLOOKUP($B7,Sheet2!$A:$K,COLUMN(Sheet2!E$39),0)</f>
        <v>黑中营业部</v>
      </c>
      <c r="D7" s="49">
        <f>VLOOKUP($B7,Sheet2!$A:$K,COLUMN(Sheet2!G$39),0)</f>
        <v>7.6</v>
      </c>
      <c r="E7" s="50">
        <f>IFERROR(VLOOKUP(C7,Sheet2!L:P,4,0),"")</f>
        <v>0.45900000000000002</v>
      </c>
      <c r="F7" s="16">
        <f t="shared" si="2"/>
        <v>6.0394736842105272E-2</v>
      </c>
      <c r="G7" s="17">
        <f t="shared" si="3"/>
        <v>5.6374355195283721E-2</v>
      </c>
      <c r="H7" s="60">
        <f>VLOOKUP($B7,Sheet2!$A:$K,COLUMN(Sheet2!H$39),0)</f>
        <v>0.33900000000000002</v>
      </c>
      <c r="I7" s="16">
        <f>VLOOKUP($B7,Sheet2!$A:$K,COLUMN(Sheet2!I$39),0)</f>
        <v>4.4605263157894696E-2</v>
      </c>
      <c r="J7" s="66">
        <f>VLOOKUP($B7,Sheet2!$A:$K,COLUMN(Sheet2!J$39),0)</f>
        <v>8.1419999999999995</v>
      </c>
      <c r="K7" s="17">
        <f>VLOOKUP($B7,Sheet2!$A:$K,COLUMN(Sheet2!K$39),0)</f>
        <v>-0.95836403831982298</v>
      </c>
    </row>
    <row r="8" spans="2:11" x14ac:dyDescent="0.2">
      <c r="B8" s="14">
        <v>4</v>
      </c>
      <c r="C8" s="15" t="str">
        <f>VLOOKUP($B8,Sheet2!$A:$K,COLUMN(Sheet2!E$39),0)</f>
        <v>黑西营业部</v>
      </c>
      <c r="D8" s="49">
        <f>VLOOKUP($B8,Sheet2!$A:$K,COLUMN(Sheet2!G$39),0)</f>
        <v>9</v>
      </c>
      <c r="E8" s="50">
        <f>IFERROR(VLOOKUP(C8,Sheet2!L:P,4,0),"")</f>
        <v>0.318</v>
      </c>
      <c r="F8" s="16">
        <f t="shared" si="2"/>
        <v>3.5333333333333335E-2</v>
      </c>
      <c r="G8" s="17">
        <f t="shared" si="3"/>
        <v>3.428941125727842E-2</v>
      </c>
      <c r="H8" s="60">
        <f>VLOOKUP($B8,Sheet2!$A:$K,COLUMN(Sheet2!H$39),0)</f>
        <v>0.311</v>
      </c>
      <c r="I8" s="16">
        <f>VLOOKUP($B8,Sheet2!$A:$K,COLUMN(Sheet2!I$39),0)</f>
        <v>3.4555555555555603E-2</v>
      </c>
      <c r="J8" s="66">
        <f>VLOOKUP($B8,Sheet2!$A:$K,COLUMN(Sheet2!J$39),0)</f>
        <v>9.2739999999999991</v>
      </c>
      <c r="K8" s="17">
        <f>VLOOKUP($B8,Sheet2!$A:$K,COLUMN(Sheet2!K$39),0)</f>
        <v>-0.96646538710373098</v>
      </c>
    </row>
    <row r="9" spans="2:11" x14ac:dyDescent="0.2">
      <c r="B9" s="18">
        <v>5</v>
      </c>
      <c r="C9" s="19" t="str">
        <f>VLOOKUP($B9,Sheet2!$A:$K,COLUMN(Sheet2!E$39),0)</f>
        <v>黑龙电商组(DY)</v>
      </c>
      <c r="D9" s="51">
        <f>VLOOKUP($B9,Sheet2!$A:$K,COLUMN(Sheet2!G$39),0)</f>
        <v>0.16</v>
      </c>
      <c r="E9" s="52" t="str">
        <f>IFERROR(VLOOKUP(C9,Sheet2!L:P,4,0),"")</f>
        <v/>
      </c>
      <c r="F9" s="20" t="str">
        <f t="shared" si="2"/>
        <v/>
      </c>
      <c r="G9" s="21" t="str">
        <f t="shared" si="3"/>
        <v/>
      </c>
      <c r="H9" s="61">
        <f>VLOOKUP($B9,Sheet2!$A:$K,COLUMN(Sheet2!H$39),0)</f>
        <v>0</v>
      </c>
      <c r="I9" s="20">
        <f>VLOOKUP($B9,Sheet2!$A:$K,COLUMN(Sheet2!I$39),0)</f>
        <v>0</v>
      </c>
      <c r="J9" s="67">
        <f>VLOOKUP($B9,Sheet2!$A:$K,COLUMN(Sheet2!J$39),0)</f>
        <v>0.16</v>
      </c>
      <c r="K9" s="21">
        <f>VLOOKUP($B9,Sheet2!$A:$K,COLUMN(Sheet2!K$39),0)</f>
        <v>-1</v>
      </c>
    </row>
    <row r="10" spans="2:11" x14ac:dyDescent="0.2">
      <c r="B10" s="8">
        <v>1</v>
      </c>
      <c r="C10" s="9" t="str">
        <f>VLOOKUP($B10,Sheet2!$C:$K,COLUMN(Sheet2!F$39)-2,0)</f>
        <v>哈尔滨OT所</v>
      </c>
      <c r="D10" s="53">
        <f>VLOOKUP($B10,Sheet2!$C:$K,COLUMN(Sheet2!G$39)-2,0)</f>
        <v>2.7069999999999999</v>
      </c>
      <c r="E10" s="54">
        <f>IFERROR(VLOOKUP(C10,Sheet2!N:O,2,0),"")</f>
        <v>1.0449999999999999</v>
      </c>
      <c r="F10" s="10">
        <f t="shared" si="0"/>
        <v>0.38603620243812337</v>
      </c>
      <c r="G10" s="11">
        <f t="shared" si="1"/>
        <v>1.1956521739130435</v>
      </c>
      <c r="H10" s="62">
        <f>VLOOKUP($B10,Sheet2!$C:$K,COLUMN(Sheet2!H$39)-2,0)</f>
        <v>1.9950000000000001</v>
      </c>
      <c r="I10" s="10">
        <f>VLOOKUP($B10,Sheet2!$C:$K,COLUMN(Sheet2!I$39)-2,0)</f>
        <v>0.73697820465459896</v>
      </c>
      <c r="J10" s="68">
        <f>VLOOKUP($B10,Sheet2!$C:$K,COLUMN(Sheet2!J$39)-2,0)</f>
        <v>0.874</v>
      </c>
      <c r="K10" s="11">
        <f>VLOOKUP($B10,Sheet2!$C:$K,COLUMN(Sheet2!K$39)-2,0)</f>
        <v>1.2826086956521701</v>
      </c>
    </row>
    <row r="11" spans="2:11" x14ac:dyDescent="0.2">
      <c r="B11" s="1">
        <v>2</v>
      </c>
      <c r="C11" s="2" t="str">
        <f>VLOOKUP($B11,Sheet2!$C:$K,COLUMN(Sheet2!F$39)-2,0)</f>
        <v>大庆城区东所</v>
      </c>
      <c r="D11" s="55">
        <f>VLOOKUP($B11,Sheet2!$C:$K,COLUMN(Sheet2!G$39)-2,0)</f>
        <v>1.0920000000000001</v>
      </c>
      <c r="E11" s="56">
        <f>IFERROR(VLOOKUP(C11,Sheet2!N:O,2,0),"")</f>
        <v>0.184</v>
      </c>
      <c r="F11" s="3">
        <f t="shared" si="0"/>
        <v>0.16849816849816848</v>
      </c>
      <c r="G11" s="4">
        <f t="shared" si="1"/>
        <v>0.36220472440944879</v>
      </c>
      <c r="H11" s="63">
        <f>VLOOKUP($B11,Sheet2!$C:$K,COLUMN(Sheet2!H$39)-2,0)</f>
        <v>0.184</v>
      </c>
      <c r="I11" s="3">
        <f>VLOOKUP($B11,Sheet2!$C:$K,COLUMN(Sheet2!I$39)-2,0)</f>
        <v>0.16849816849816901</v>
      </c>
      <c r="J11" s="69">
        <f>VLOOKUP($B11,Sheet2!$C:$K,COLUMN(Sheet2!J$39)-2,0)</f>
        <v>0.50800000000000001</v>
      </c>
      <c r="K11" s="4">
        <f>VLOOKUP($B11,Sheet2!$C:$K,COLUMN(Sheet2!K$39)-2,0)</f>
        <v>-0.63779527559055094</v>
      </c>
    </row>
    <row r="12" spans="2:11" x14ac:dyDescent="0.2">
      <c r="B12" s="1">
        <v>3</v>
      </c>
      <c r="C12" s="2" t="str">
        <f>VLOOKUP($B12,Sheet2!$C:$K,COLUMN(Sheet2!F$39)-2,0)</f>
        <v>牡丹江城区所</v>
      </c>
      <c r="D12" s="55">
        <f>VLOOKUP($B12,Sheet2!$C:$K,COLUMN(Sheet2!G$39)-2,0)</f>
        <v>1.6739999999999999</v>
      </c>
      <c r="E12" s="56">
        <f>IFERROR(VLOOKUP(C12,Sheet2!N:O,2,0),"")</f>
        <v>0.35299999999999998</v>
      </c>
      <c r="F12" s="3">
        <f t="shared" si="0"/>
        <v>0.21087216248506571</v>
      </c>
      <c r="G12" s="4">
        <f t="shared" si="1"/>
        <v>0.191017316017316</v>
      </c>
      <c r="H12" s="63">
        <f>VLOOKUP($B12,Sheet2!$C:$K,COLUMN(Sheet2!H$39)-2,0)</f>
        <v>0.35099999999999998</v>
      </c>
      <c r="I12" s="3">
        <f>VLOOKUP($B12,Sheet2!$C:$K,COLUMN(Sheet2!I$39)-2,0)</f>
        <v>0.209677419354839</v>
      </c>
      <c r="J12" s="69">
        <f>VLOOKUP($B12,Sheet2!$C:$K,COLUMN(Sheet2!J$39)-2,0)</f>
        <v>1.8480000000000001</v>
      </c>
      <c r="K12" s="4">
        <f>VLOOKUP($B12,Sheet2!$C:$K,COLUMN(Sheet2!K$39)-2,0)</f>
        <v>-0.81006493506493493</v>
      </c>
    </row>
    <row r="13" spans="2:11" x14ac:dyDescent="0.2">
      <c r="B13" s="1">
        <v>4</v>
      </c>
      <c r="C13" s="2" t="str">
        <f>VLOOKUP($B13,Sheet2!$C:$K,COLUMN(Sheet2!F$39)-2,0)</f>
        <v>哈尔滨城区北所</v>
      </c>
      <c r="D13" s="55">
        <f>VLOOKUP($B13,Sheet2!$C:$K,COLUMN(Sheet2!G$39)-2,0)</f>
        <v>1.538</v>
      </c>
      <c r="E13" s="56">
        <f>IFERROR(VLOOKUP(C13,Sheet2!N:O,2,0),"")</f>
        <v>0.26600000000000001</v>
      </c>
      <c r="F13" s="3">
        <f t="shared" si="0"/>
        <v>0.17295188556566971</v>
      </c>
      <c r="G13" s="4">
        <f t="shared" si="1"/>
        <v>0.18281786941580755</v>
      </c>
      <c r="H13" s="63">
        <f>VLOOKUP($B13,Sheet2!$C:$K,COLUMN(Sheet2!H$39)-2,0)</f>
        <v>0.26600000000000001</v>
      </c>
      <c r="I13" s="3">
        <f>VLOOKUP($B13,Sheet2!$C:$K,COLUMN(Sheet2!I$39)-2,0)</f>
        <v>0.17295188556566998</v>
      </c>
      <c r="J13" s="69">
        <f>VLOOKUP($B13,Sheet2!$C:$K,COLUMN(Sheet2!J$39)-2,0)</f>
        <v>1.4550000000000001</v>
      </c>
      <c r="K13" s="4">
        <f>VLOOKUP($B13,Sheet2!$C:$K,COLUMN(Sheet2!K$39)-2,0)</f>
        <v>-0.81718213058419198</v>
      </c>
    </row>
    <row r="14" spans="2:11" x14ac:dyDescent="0.2">
      <c r="B14" s="1">
        <v>5</v>
      </c>
      <c r="C14" s="2" t="str">
        <f>VLOOKUP($B14,Sheet2!$C:$K,COLUMN(Sheet2!F$39)-2,0)</f>
        <v>哈尔滨综合西所</v>
      </c>
      <c r="D14" s="55">
        <f>VLOOKUP($B14,Sheet2!$C:$K,COLUMN(Sheet2!G$39)-2,0)</f>
        <v>0.97799999999999998</v>
      </c>
      <c r="E14" s="56">
        <f>IFERROR(VLOOKUP(C14,Sheet2!N:O,2,0),"")</f>
        <v>0.13500000000000001</v>
      </c>
      <c r="F14" s="3">
        <f t="shared" si="0"/>
        <v>0.13803680981595093</v>
      </c>
      <c r="G14" s="4">
        <f t="shared" si="1"/>
        <v>0.15066964285714288</v>
      </c>
      <c r="H14" s="63">
        <f>VLOOKUP($B14,Sheet2!$C:$K,COLUMN(Sheet2!H$39)-2,0)</f>
        <v>0.13500000000000001</v>
      </c>
      <c r="I14" s="3">
        <f>VLOOKUP($B14,Sheet2!$C:$K,COLUMN(Sheet2!I$39)-2,0)</f>
        <v>0.13803680981595101</v>
      </c>
      <c r="J14" s="69">
        <f>VLOOKUP($B14,Sheet2!$C:$K,COLUMN(Sheet2!J$39)-2,0)</f>
        <v>0.89600000000000002</v>
      </c>
      <c r="K14" s="4">
        <f>VLOOKUP($B14,Sheet2!$C:$K,COLUMN(Sheet2!K$39)-2,0)</f>
        <v>-0.84933035714285698</v>
      </c>
    </row>
    <row r="15" spans="2:11" x14ac:dyDescent="0.2">
      <c r="B15" s="1">
        <v>6</v>
      </c>
      <c r="C15" s="2" t="str">
        <f>VLOOKUP($B15,Sheet2!$C:$K,COLUMN(Sheet2!F$39)-2,0)</f>
        <v>哈尔滨综合中所</v>
      </c>
      <c r="D15" s="55">
        <f>VLOOKUP($B15,Sheet2!$C:$K,COLUMN(Sheet2!G$39)-2,0)</f>
        <v>2.2570000000000001</v>
      </c>
      <c r="E15" s="56">
        <f>IFERROR(VLOOKUP(C15,Sheet2!N:O,2,0),"")</f>
        <v>0.27</v>
      </c>
      <c r="F15" s="3">
        <f t="shared" si="0"/>
        <v>0.11962782454585734</v>
      </c>
      <c r="G15" s="4">
        <f t="shared" si="1"/>
        <v>0.15066964285714288</v>
      </c>
      <c r="H15" s="63">
        <f>VLOOKUP($B15,Sheet2!$C:$K,COLUMN(Sheet2!H$39)-2,0)</f>
        <v>0.26900000000000002</v>
      </c>
      <c r="I15" s="3">
        <f>VLOOKUP($B15,Sheet2!$C:$K,COLUMN(Sheet2!I$39)-2,0)</f>
        <v>0.119184758529021</v>
      </c>
      <c r="J15" s="69">
        <f>VLOOKUP($B15,Sheet2!$C:$K,COLUMN(Sheet2!J$39)-2,0)</f>
        <v>1.792</v>
      </c>
      <c r="K15" s="4">
        <f>VLOOKUP($B15,Sheet2!$C:$K,COLUMN(Sheet2!K$39)-2,0)</f>
        <v>-0.84988839285714302</v>
      </c>
    </row>
    <row r="16" spans="2:11" x14ac:dyDescent="0.2">
      <c r="B16" s="1">
        <v>7</v>
      </c>
      <c r="C16" s="2" t="str">
        <f>VLOOKUP($B16,Sheet2!$C:$K,COLUMN(Sheet2!F$39)-2,0)</f>
        <v>双鸭山城区所</v>
      </c>
      <c r="D16" s="55">
        <f>VLOOKUP($B16,Sheet2!$C:$K,COLUMN(Sheet2!G$39)-2,0)</f>
        <v>0.42199999999999999</v>
      </c>
      <c r="E16" s="56">
        <f>IFERROR(VLOOKUP(C16,Sheet2!N:O,2,0),"")</f>
        <v>8.3000000000000004E-2</v>
      </c>
      <c r="F16" s="3">
        <f t="shared" si="0"/>
        <v>0.19668246445497631</v>
      </c>
      <c r="G16" s="4">
        <f t="shared" si="1"/>
        <v>0.1836283185840708</v>
      </c>
      <c r="H16" s="63">
        <f>VLOOKUP($B16,Sheet2!$C:$K,COLUMN(Sheet2!H$39)-2,0)</f>
        <v>6.0999999999999999E-2</v>
      </c>
      <c r="I16" s="3">
        <f>VLOOKUP($B16,Sheet2!$C:$K,COLUMN(Sheet2!I$39)-2,0)</f>
        <v>0.14454976303317499</v>
      </c>
      <c r="J16" s="69">
        <f>VLOOKUP($B16,Sheet2!$C:$K,COLUMN(Sheet2!J$39)-2,0)</f>
        <v>0.45200000000000001</v>
      </c>
      <c r="K16" s="4">
        <f>VLOOKUP($B16,Sheet2!$C:$K,COLUMN(Sheet2!K$39)-2,0)</f>
        <v>-0.86504424778761102</v>
      </c>
    </row>
    <row r="17" spans="2:11" x14ac:dyDescent="0.2">
      <c r="B17" s="1">
        <v>8</v>
      </c>
      <c r="C17" s="2" t="str">
        <f>VLOOKUP($B17,Sheet2!$C:$K,COLUMN(Sheet2!F$39)-2,0)</f>
        <v>大庆城区西所</v>
      </c>
      <c r="D17" s="55">
        <f>VLOOKUP($B17,Sheet2!$C:$K,COLUMN(Sheet2!G$39)-2,0)</f>
        <v>0.624</v>
      </c>
      <c r="E17" s="56">
        <f>IFERROR(VLOOKUP(C17,Sheet2!N:O,2,0),"")</f>
        <v>4.4999999999999998E-2</v>
      </c>
      <c r="F17" s="3">
        <f t="shared" si="0"/>
        <v>7.2115384615384609E-2</v>
      </c>
      <c r="G17" s="4">
        <f t="shared" si="1"/>
        <v>0.10112359550561797</v>
      </c>
      <c r="H17" s="63">
        <f>VLOOKUP($B17,Sheet2!$C:$K,COLUMN(Sheet2!H$39)-2,0)</f>
        <v>4.4999999999999998E-2</v>
      </c>
      <c r="I17" s="3">
        <f>VLOOKUP($B17,Sheet2!$C:$K,COLUMN(Sheet2!I$39)-2,0)</f>
        <v>7.2115384615384595E-2</v>
      </c>
      <c r="J17" s="69">
        <f>VLOOKUP($B17,Sheet2!$C:$K,COLUMN(Sheet2!J$39)-2,0)</f>
        <v>0.44500000000000001</v>
      </c>
      <c r="K17" s="4">
        <f>VLOOKUP($B17,Sheet2!$C:$K,COLUMN(Sheet2!K$39)-2,0)</f>
        <v>-0.898876404494382</v>
      </c>
    </row>
    <row r="18" spans="2:11" x14ac:dyDescent="0.2">
      <c r="B18" s="1">
        <v>9</v>
      </c>
      <c r="C18" s="2" t="str">
        <f>VLOOKUP($B18,Sheet2!$C:$K,COLUMN(Sheet2!F$39)-2,0)</f>
        <v>哈尔滨综合东所</v>
      </c>
      <c r="D18" s="55">
        <f>VLOOKUP($B18,Sheet2!$C:$K,COLUMN(Sheet2!G$39)-2,0)</f>
        <v>1.0669999999999999</v>
      </c>
      <c r="E18" s="56">
        <f>IFERROR(VLOOKUP(C18,Sheet2!N:O,2,0),"")</f>
        <v>7.2999999999999995E-2</v>
      </c>
      <c r="F18" s="3">
        <f t="shared" si="0"/>
        <v>6.8416119962511721E-2</v>
      </c>
      <c r="G18" s="4">
        <f t="shared" si="1"/>
        <v>0.10124826629680998</v>
      </c>
      <c r="H18" s="63">
        <f>VLOOKUP($B18,Sheet2!$C:$K,COLUMN(Sheet2!H$39)-2,0)</f>
        <v>7.1999999999999995E-2</v>
      </c>
      <c r="I18" s="3">
        <f>VLOOKUP($B18,Sheet2!$C:$K,COLUMN(Sheet2!I$39)-2,0)</f>
        <v>6.7478912839737601E-2</v>
      </c>
      <c r="J18" s="69">
        <f>VLOOKUP($B18,Sheet2!$C:$K,COLUMN(Sheet2!J$39)-2,0)</f>
        <v>0.72099999999999997</v>
      </c>
      <c r="K18" s="4">
        <f>VLOOKUP($B18,Sheet2!$C:$K,COLUMN(Sheet2!K$39)-2,0)</f>
        <v>-0.90013869625520104</v>
      </c>
    </row>
    <row r="19" spans="2:11" x14ac:dyDescent="0.2">
      <c r="B19" s="1">
        <v>10</v>
      </c>
      <c r="C19" s="2" t="str">
        <f>VLOOKUP($B19,Sheet2!$C:$K,COLUMN(Sheet2!F$39)-2,0)</f>
        <v>鹤岗城区所</v>
      </c>
      <c r="D19" s="55">
        <f>VLOOKUP($B19,Sheet2!$C:$K,COLUMN(Sheet2!G$39)-2,0)</f>
        <v>0.40500000000000003</v>
      </c>
      <c r="E19" s="56">
        <f>IFERROR(VLOOKUP(C19,Sheet2!N:O,2,0),"")</f>
        <v>1.2999999999999999E-2</v>
      </c>
      <c r="F19" s="3">
        <f t="shared" si="0"/>
        <v>3.2098765432098761E-2</v>
      </c>
      <c r="G19" s="4">
        <f t="shared" si="1"/>
        <v>9.6296296296296283E-2</v>
      </c>
      <c r="H19" s="63">
        <f>VLOOKUP($B19,Sheet2!$C:$K,COLUMN(Sheet2!H$39)-2,0)</f>
        <v>1.2999999999999999E-2</v>
      </c>
      <c r="I19" s="3">
        <f>VLOOKUP($B19,Sheet2!$C:$K,COLUMN(Sheet2!I$39)-2,0)</f>
        <v>3.2098765432098803E-2</v>
      </c>
      <c r="J19" s="69">
        <f>VLOOKUP($B19,Sheet2!$C:$K,COLUMN(Sheet2!J$39)-2,0)</f>
        <v>0.13500000000000001</v>
      </c>
      <c r="K19" s="4">
        <f>VLOOKUP($B19,Sheet2!$C:$K,COLUMN(Sheet2!K$39)-2,0)</f>
        <v>-0.9037037037037039</v>
      </c>
    </row>
    <row r="20" spans="2:11" x14ac:dyDescent="0.2">
      <c r="B20" s="1">
        <v>11</v>
      </c>
      <c r="C20" s="2" t="str">
        <f>VLOOKUP($B20,Sheet2!$C:$K,COLUMN(Sheet2!F$39)-2,0)</f>
        <v>肇东外埠所</v>
      </c>
      <c r="D20" s="55">
        <f>VLOOKUP($B20,Sheet2!$C:$K,COLUMN(Sheet2!G$39)-2,0)</f>
        <v>1.76</v>
      </c>
      <c r="E20" s="56">
        <f>IFERROR(VLOOKUP(C20,Sheet2!N:O,2,0),"")</f>
        <v>0.17</v>
      </c>
      <c r="F20" s="3">
        <f t="shared" si="0"/>
        <v>9.6590909090909102E-2</v>
      </c>
      <c r="G20" s="4">
        <f t="shared" si="1"/>
        <v>9.7421203438395415E-2</v>
      </c>
      <c r="H20" s="63">
        <f>VLOOKUP($B20,Sheet2!$C:$K,COLUMN(Sheet2!H$39)-2,0)</f>
        <v>0.11</v>
      </c>
      <c r="I20" s="3">
        <f>VLOOKUP($B20,Sheet2!$C:$K,COLUMN(Sheet2!I$39)-2,0)</f>
        <v>6.25E-2</v>
      </c>
      <c r="J20" s="69">
        <f>VLOOKUP($B20,Sheet2!$C:$K,COLUMN(Sheet2!J$39)-2,0)</f>
        <v>1.7450000000000001</v>
      </c>
      <c r="K20" s="4">
        <f>VLOOKUP($B20,Sheet2!$C:$K,COLUMN(Sheet2!K$39)-2,0)</f>
        <v>-0.93696275071633195</v>
      </c>
    </row>
    <row r="21" spans="2:11" x14ac:dyDescent="0.2">
      <c r="B21" s="1">
        <v>12</v>
      </c>
      <c r="C21" s="2" t="str">
        <f>VLOOKUP($B21,Sheet2!$C:$K,COLUMN(Sheet2!F$39)-2,0)</f>
        <v>海拉尔城区所</v>
      </c>
      <c r="D21" s="55">
        <f>VLOOKUP($B21,Sheet2!$C:$K,COLUMN(Sheet2!G$39)-2,0)</f>
        <v>0.86299999999999999</v>
      </c>
      <c r="E21" s="56">
        <f>IFERROR(VLOOKUP(C21,Sheet2!N:O,2,0),"")</f>
        <v>2.3E-2</v>
      </c>
      <c r="F21" s="3">
        <f t="shared" si="0"/>
        <v>2.6651216685979143E-2</v>
      </c>
      <c r="G21" s="4">
        <f t="shared" si="1"/>
        <v>6.068601583113456E-2</v>
      </c>
      <c r="H21" s="63">
        <f>VLOOKUP($B21,Sheet2!$C:$K,COLUMN(Sheet2!H$39)-2,0)</f>
        <v>2.3E-2</v>
      </c>
      <c r="I21" s="3">
        <f>VLOOKUP($B21,Sheet2!$C:$K,COLUMN(Sheet2!I$39)-2,0)</f>
        <v>2.6651216685979098E-2</v>
      </c>
      <c r="J21" s="69">
        <f>VLOOKUP($B21,Sheet2!$C:$K,COLUMN(Sheet2!J$39)-2,0)</f>
        <v>0.379</v>
      </c>
      <c r="K21" s="4">
        <f>VLOOKUP($B21,Sheet2!$C:$K,COLUMN(Sheet2!K$39)-2,0)</f>
        <v>-0.93931398416886491</v>
      </c>
    </row>
    <row r="22" spans="2:11" x14ac:dyDescent="0.2">
      <c r="B22" s="1">
        <v>13</v>
      </c>
      <c r="C22" s="2" t="str">
        <f>VLOOKUP($B22,Sheet2!$C:$K,COLUMN(Sheet2!F$39)-2,0)</f>
        <v>七台河外埠所</v>
      </c>
      <c r="D22" s="55">
        <f>VLOOKUP($B22,Sheet2!$C:$K,COLUMN(Sheet2!G$39)-2,0)</f>
        <v>2.0619999999999998</v>
      </c>
      <c r="E22" s="56">
        <f>IFERROR(VLOOKUP(C22,Sheet2!N:O,2,0),"")</f>
        <v>0.106</v>
      </c>
      <c r="F22" s="3">
        <f t="shared" si="0"/>
        <v>5.140640155189137E-2</v>
      </c>
      <c r="G22" s="4">
        <f t="shared" si="1"/>
        <v>4.842393787117405E-2</v>
      </c>
      <c r="H22" s="63">
        <f>VLOOKUP($B22,Sheet2!$C:$K,COLUMN(Sheet2!H$39)-2,0)</f>
        <v>0.106</v>
      </c>
      <c r="I22" s="3">
        <f>VLOOKUP($B22,Sheet2!$C:$K,COLUMN(Sheet2!I$39)-2,0)</f>
        <v>5.1406401551891398E-2</v>
      </c>
      <c r="J22" s="69">
        <f>VLOOKUP($B22,Sheet2!$C:$K,COLUMN(Sheet2!J$39)-2,0)</f>
        <v>2.1890000000000001</v>
      </c>
      <c r="K22" s="4">
        <f>VLOOKUP($B22,Sheet2!$C:$K,COLUMN(Sheet2!K$39)-2,0)</f>
        <v>-0.95157606212882595</v>
      </c>
    </row>
    <row r="23" spans="2:11" x14ac:dyDescent="0.2">
      <c r="B23" s="1">
        <v>14</v>
      </c>
      <c r="C23" s="2" t="str">
        <f>VLOOKUP($B23,Sheet2!$C:$K,COLUMN(Sheet2!F$39)-2,0)</f>
        <v>兴安外埠所</v>
      </c>
      <c r="D23" s="55">
        <f>VLOOKUP($B23,Sheet2!$C:$K,COLUMN(Sheet2!G$39)-2,0)</f>
        <v>2.5009999999999999</v>
      </c>
      <c r="E23" s="56">
        <f>IFERROR(VLOOKUP(C23,Sheet2!N:O,2,0),"")</f>
        <v>0.12</v>
      </c>
      <c r="F23" s="3">
        <f t="shared" si="0"/>
        <v>4.7980807676929228E-2</v>
      </c>
      <c r="G23" s="4">
        <f t="shared" si="1"/>
        <v>4.5351473922902494E-2</v>
      </c>
      <c r="H23" s="63">
        <f>VLOOKUP($B23,Sheet2!$C:$K,COLUMN(Sheet2!H$39)-2,0)</f>
        <v>0.12</v>
      </c>
      <c r="I23" s="3">
        <f>VLOOKUP($B23,Sheet2!$C:$K,COLUMN(Sheet2!I$39)-2,0)</f>
        <v>4.7980807676929194E-2</v>
      </c>
      <c r="J23" s="69">
        <f>VLOOKUP($B23,Sheet2!$C:$K,COLUMN(Sheet2!J$39)-2,0)</f>
        <v>2.6459999999999999</v>
      </c>
      <c r="K23" s="4">
        <f>VLOOKUP($B23,Sheet2!$C:$K,COLUMN(Sheet2!K$39)-2,0)</f>
        <v>-0.95464852607709705</v>
      </c>
    </row>
    <row r="24" spans="2:11" x14ac:dyDescent="0.2">
      <c r="B24" s="1">
        <v>15</v>
      </c>
      <c r="C24" s="2" t="str">
        <f>VLOOKUP($B24,Sheet2!$C:$K,COLUMN(Sheet2!F$39)-2,0)</f>
        <v>齐齐哈尔城区所</v>
      </c>
      <c r="D24" s="55">
        <f>VLOOKUP($B24,Sheet2!$C:$K,COLUMN(Sheet2!G$39)-2,0)</f>
        <v>0.96399999999999997</v>
      </c>
      <c r="E24" s="56">
        <f>IFERROR(VLOOKUP(C24,Sheet2!N:O,2,0),"")</f>
        <v>3.5000000000000003E-2</v>
      </c>
      <c r="F24" s="3">
        <f t="shared" si="0"/>
        <v>3.6307053941908717E-2</v>
      </c>
      <c r="G24" s="4">
        <f t="shared" si="1"/>
        <v>5.3110773899848258E-2</v>
      </c>
      <c r="H24" s="63">
        <f>VLOOKUP($B24,Sheet2!$C:$K,COLUMN(Sheet2!H$39)-2,0)</f>
        <v>2.8000000000000001E-2</v>
      </c>
      <c r="I24" s="3">
        <f>VLOOKUP($B24,Sheet2!$C:$K,COLUMN(Sheet2!I$39)-2,0)</f>
        <v>2.9045643153527E-2</v>
      </c>
      <c r="J24" s="69">
        <f>VLOOKUP($B24,Sheet2!$C:$K,COLUMN(Sheet2!J$39)-2,0)</f>
        <v>0.65900000000000003</v>
      </c>
      <c r="K24" s="4">
        <f>VLOOKUP($B24,Sheet2!$C:$K,COLUMN(Sheet2!K$39)-2,0)</f>
        <v>-0.957511380880121</v>
      </c>
    </row>
    <row r="25" spans="2:11" x14ac:dyDescent="0.2">
      <c r="B25" s="1">
        <v>16</v>
      </c>
      <c r="C25" s="2" t="str">
        <f>VLOOKUP($B25,Sheet2!$C:$K,COLUMN(Sheet2!F$39)-2,0)</f>
        <v>呼盟外埠所</v>
      </c>
      <c r="D25" s="55">
        <f>VLOOKUP($B25,Sheet2!$C:$K,COLUMN(Sheet2!G$39)-2,0)</f>
        <v>2.4329999999999998</v>
      </c>
      <c r="E25" s="56">
        <f>IFERROR(VLOOKUP(C25,Sheet2!N:O,2,0),"")</f>
        <v>7.0000000000000007E-2</v>
      </c>
      <c r="F25" s="3">
        <f t="shared" si="0"/>
        <v>2.8771064529387592E-2</v>
      </c>
      <c r="G25" s="4">
        <f t="shared" si="1"/>
        <v>2.6455026455026457E-2</v>
      </c>
      <c r="H25" s="63">
        <f>VLOOKUP($B25,Sheet2!$C:$K,COLUMN(Sheet2!H$39)-2,0)</f>
        <v>7.0000000000000007E-2</v>
      </c>
      <c r="I25" s="3">
        <f>VLOOKUP($B25,Sheet2!$C:$K,COLUMN(Sheet2!I$39)-2,0)</f>
        <v>2.8771064529387602E-2</v>
      </c>
      <c r="J25" s="69">
        <f>VLOOKUP($B25,Sheet2!$C:$K,COLUMN(Sheet2!J$39)-2,0)</f>
        <v>2.6459999999999999</v>
      </c>
      <c r="K25" s="4">
        <f>VLOOKUP($B25,Sheet2!$C:$K,COLUMN(Sheet2!K$39)-2,0)</f>
        <v>-0.97354497354497394</v>
      </c>
    </row>
    <row r="26" spans="2:11" x14ac:dyDescent="0.2">
      <c r="B26" s="1">
        <v>17</v>
      </c>
      <c r="C26" s="2" t="str">
        <f>VLOOKUP($B26,Sheet2!$C:$K,COLUMN(Sheet2!F$39)-2,0)</f>
        <v>双鸭山外埠所</v>
      </c>
      <c r="D26" s="55">
        <f>VLOOKUP($B26,Sheet2!$C:$K,COLUMN(Sheet2!G$39)-2,0)</f>
        <v>1.9390000000000001</v>
      </c>
      <c r="E26" s="56">
        <f>IFERROR(VLOOKUP(C26,Sheet2!N:O,2,0),"")</f>
        <v>0.06</v>
      </c>
      <c r="F26" s="3">
        <f t="shared" si="0"/>
        <v>3.0943785456420833E-2</v>
      </c>
      <c r="G26" s="4">
        <f t="shared" si="1"/>
        <v>2.5412960609911051E-2</v>
      </c>
      <c r="H26" s="63">
        <f>VLOOKUP($B26,Sheet2!$C:$K,COLUMN(Sheet2!H$39)-2,0)</f>
        <v>0.06</v>
      </c>
      <c r="I26" s="3">
        <f>VLOOKUP($B26,Sheet2!$C:$K,COLUMN(Sheet2!I$39)-2,0)</f>
        <v>3.0943785456420798E-2</v>
      </c>
      <c r="J26" s="69">
        <f>VLOOKUP($B26,Sheet2!$C:$K,COLUMN(Sheet2!J$39)-2,0)</f>
        <v>2.3610000000000002</v>
      </c>
      <c r="K26" s="4">
        <f>VLOOKUP($B26,Sheet2!$C:$K,COLUMN(Sheet2!K$39)-2,0)</f>
        <v>-0.97458703939008895</v>
      </c>
    </row>
    <row r="27" spans="2:11" x14ac:dyDescent="0.2">
      <c r="B27" s="1">
        <v>18</v>
      </c>
      <c r="C27" s="2" t="str">
        <f>VLOOKUP($B27,Sheet2!$C:$K,COLUMN(Sheet2!F$39)-2,0)</f>
        <v>龙江外埠所</v>
      </c>
      <c r="D27" s="55">
        <f>VLOOKUP($B27,Sheet2!$C:$K,COLUMN(Sheet2!G$39)-2,0)</f>
        <v>2.2389999999999999</v>
      </c>
      <c r="E27" s="56">
        <f>IFERROR(VLOOKUP(C27,Sheet2!N:O,2,0),"")</f>
        <v>7.0000000000000007E-2</v>
      </c>
      <c r="F27" s="3">
        <f t="shared" si="0"/>
        <v>3.1263957123715949E-2</v>
      </c>
      <c r="G27" s="4">
        <f t="shared" si="1"/>
        <v>2.377717391304348E-2</v>
      </c>
      <c r="H27" s="63">
        <f>VLOOKUP($B27,Sheet2!$C:$K,COLUMN(Sheet2!H$39)-2,0)</f>
        <v>7.0000000000000007E-2</v>
      </c>
      <c r="I27" s="3">
        <f>VLOOKUP($B27,Sheet2!$C:$K,COLUMN(Sheet2!I$39)-2,0)</f>
        <v>3.1263957123715901E-2</v>
      </c>
      <c r="J27" s="69">
        <f>VLOOKUP($B27,Sheet2!$C:$K,COLUMN(Sheet2!J$39)-2,0)</f>
        <v>2.944</v>
      </c>
      <c r="K27" s="4">
        <f>VLOOKUP($B27,Sheet2!$C:$K,COLUMN(Sheet2!K$39)-2,0)</f>
        <v>-0.97622282608695699</v>
      </c>
    </row>
    <row r="28" spans="2:11" x14ac:dyDescent="0.2">
      <c r="B28" s="1">
        <v>19</v>
      </c>
      <c r="C28" s="2" t="str">
        <f>VLOOKUP($B28,Sheet2!$C:$K,COLUMN(Sheet2!F$39)-2,0)</f>
        <v>鸡西城区所</v>
      </c>
      <c r="D28" s="55">
        <f>VLOOKUP($B28,Sheet2!$C:$K,COLUMN(Sheet2!G$39)-2,0)</f>
        <v>0.93</v>
      </c>
      <c r="E28" s="56">
        <f>IFERROR(VLOOKUP(C28,Sheet2!N:O,2,0),"")</f>
        <v>1.2E-2</v>
      </c>
      <c r="F28" s="3">
        <f t="shared" si="0"/>
        <v>1.2903225806451613E-2</v>
      </c>
      <c r="G28" s="4">
        <f t="shared" si="1"/>
        <v>1.0978956999085087E-2</v>
      </c>
      <c r="H28" s="63">
        <f>VLOOKUP($B28,Sheet2!$C:$K,COLUMN(Sheet2!H$39)-2,0)</f>
        <v>1.2E-2</v>
      </c>
      <c r="I28" s="3">
        <f>VLOOKUP($B28,Sheet2!$C:$K,COLUMN(Sheet2!I$39)-2,0)</f>
        <v>1.2903225806451599E-2</v>
      </c>
      <c r="J28" s="69">
        <f>VLOOKUP($B28,Sheet2!$C:$K,COLUMN(Sheet2!J$39)-2,0)</f>
        <v>1.093</v>
      </c>
      <c r="K28" s="4">
        <f>VLOOKUP($B28,Sheet2!$C:$K,COLUMN(Sheet2!K$39)-2,0)</f>
        <v>-0.98902104300091498</v>
      </c>
    </row>
    <row r="29" spans="2:11" x14ac:dyDescent="0.2">
      <c r="B29" s="1">
        <v>20</v>
      </c>
      <c r="C29" s="2" t="str">
        <f>VLOOKUP($B29,Sheet2!$C:$K,COLUMN(Sheet2!F$39)-2,0)</f>
        <v>宾县外埠所</v>
      </c>
      <c r="D29" s="55">
        <f>VLOOKUP($B29,Sheet2!$C:$K,COLUMN(Sheet2!G$39)-2,0)</f>
        <v>2.0830000000000002</v>
      </c>
      <c r="E29" s="56" t="str">
        <f>IFERROR(VLOOKUP(C29,Sheet2!N:O,2,0),"")</f>
        <v/>
      </c>
      <c r="F29" s="3" t="str">
        <f t="shared" si="0"/>
        <v/>
      </c>
      <c r="G29" s="4" t="str">
        <f t="shared" si="1"/>
        <v/>
      </c>
      <c r="H29" s="63">
        <f>VLOOKUP($B29,Sheet2!$C:$K,COLUMN(Sheet2!H$39)-2,0)</f>
        <v>0</v>
      </c>
      <c r="I29" s="3">
        <f>VLOOKUP($B29,Sheet2!$C:$K,COLUMN(Sheet2!I$39)-2,0)</f>
        <v>0</v>
      </c>
      <c r="J29" s="69">
        <f>VLOOKUP($B29,Sheet2!$C:$K,COLUMN(Sheet2!J$39)-2,0)</f>
        <v>2.2519999999999998</v>
      </c>
      <c r="K29" s="4">
        <f>VLOOKUP($B29,Sheet2!$C:$K,COLUMN(Sheet2!K$39)-2,0)</f>
        <v>-1</v>
      </c>
    </row>
    <row r="30" spans="2:11" x14ac:dyDescent="0.2">
      <c r="B30" s="1">
        <v>21</v>
      </c>
      <c r="C30" s="2" t="str">
        <f>VLOOKUP($B30,Sheet2!$C:$K,COLUMN(Sheet2!F$39)-2,0)</f>
        <v>五常外埠所</v>
      </c>
      <c r="D30" s="55">
        <f>VLOOKUP($B30,Sheet2!$C:$K,COLUMN(Sheet2!G$39)-2,0)</f>
        <v>2.61</v>
      </c>
      <c r="E30" s="56" t="str">
        <f>IFERROR(VLOOKUP(C30,Sheet2!N:O,2,0),"")</f>
        <v/>
      </c>
      <c r="F30" s="3" t="str">
        <f t="shared" si="0"/>
        <v/>
      </c>
      <c r="G30" s="4" t="str">
        <f t="shared" si="1"/>
        <v/>
      </c>
      <c r="H30" s="63">
        <f>VLOOKUP($B30,Sheet2!$C:$K,COLUMN(Sheet2!H$39)-2,0)</f>
        <v>0</v>
      </c>
      <c r="I30" s="3">
        <f>VLOOKUP($B30,Sheet2!$C:$K,COLUMN(Sheet2!I$39)-2,0)</f>
        <v>0</v>
      </c>
      <c r="J30" s="69">
        <f>VLOOKUP($B30,Sheet2!$C:$K,COLUMN(Sheet2!J$39)-2,0)</f>
        <v>3.2469999999999999</v>
      </c>
      <c r="K30" s="4">
        <f>VLOOKUP($B30,Sheet2!$C:$K,COLUMN(Sheet2!K$39)-2,0)</f>
        <v>-1</v>
      </c>
    </row>
    <row r="31" spans="2:11" x14ac:dyDescent="0.2">
      <c r="B31" s="1">
        <v>22</v>
      </c>
      <c r="C31" s="2" t="str">
        <f>VLOOKUP($B31,Sheet2!$C:$K,COLUMN(Sheet2!F$39)-2,0)</f>
        <v>佳木斯城区所</v>
      </c>
      <c r="D31" s="55">
        <f>VLOOKUP($B31,Sheet2!$C:$K,COLUMN(Sheet2!G$39)-2,0)</f>
        <v>0.56799999999999995</v>
      </c>
      <c r="E31" s="56" t="str">
        <f>IFERROR(VLOOKUP(C31,Sheet2!N:O,2,0),"")</f>
        <v/>
      </c>
      <c r="F31" s="3" t="str">
        <f t="shared" si="0"/>
        <v/>
      </c>
      <c r="G31" s="4" t="str">
        <f t="shared" si="1"/>
        <v/>
      </c>
      <c r="H31" s="63">
        <f>VLOOKUP($B31,Sheet2!$C:$K,COLUMN(Sheet2!H$39)-2,0)</f>
        <v>0</v>
      </c>
      <c r="I31" s="3">
        <f>VLOOKUP($B31,Sheet2!$C:$K,COLUMN(Sheet2!I$39)-2,0)</f>
        <v>0</v>
      </c>
      <c r="J31" s="69">
        <f>VLOOKUP($B31,Sheet2!$C:$K,COLUMN(Sheet2!J$39)-2,0)</f>
        <v>0.47499999999999998</v>
      </c>
      <c r="K31" s="4">
        <f>VLOOKUP($B31,Sheet2!$C:$K,COLUMN(Sheet2!K$39)-2,0)</f>
        <v>-1</v>
      </c>
    </row>
    <row r="32" spans="2:11" x14ac:dyDescent="0.2">
      <c r="B32" s="1">
        <v>23</v>
      </c>
      <c r="C32" s="2" t="str">
        <f>VLOOKUP($B32,Sheet2!$C:$K,COLUMN(Sheet2!F$39)-2,0)</f>
        <v>海伦外埠所</v>
      </c>
      <c r="D32" s="55">
        <f>VLOOKUP($B32,Sheet2!$C:$K,COLUMN(Sheet2!G$39)-2,0)</f>
        <v>1.284</v>
      </c>
      <c r="E32" s="56" t="str">
        <f>IFERROR(VLOOKUP(C32,Sheet2!N:O,2,0),"")</f>
        <v/>
      </c>
      <c r="F32" s="3" t="str">
        <f t="shared" si="0"/>
        <v/>
      </c>
      <c r="G32" s="4" t="str">
        <f t="shared" si="1"/>
        <v/>
      </c>
      <c r="H32" s="63">
        <f>VLOOKUP($B32,Sheet2!$C:$K,COLUMN(Sheet2!H$39)-2,0)</f>
        <v>0</v>
      </c>
      <c r="I32" s="3">
        <f>VLOOKUP($B32,Sheet2!$C:$K,COLUMN(Sheet2!I$39)-2,0)</f>
        <v>0</v>
      </c>
      <c r="J32" s="69">
        <f>VLOOKUP($B32,Sheet2!$C:$K,COLUMN(Sheet2!J$39)-2,0)</f>
        <v>1.673</v>
      </c>
      <c r="K32" s="4">
        <f>VLOOKUP($B32,Sheet2!$C:$K,COLUMN(Sheet2!K$39)-2,0)</f>
        <v>-1</v>
      </c>
    </row>
    <row r="33" spans="2:11" x14ac:dyDescent="0.2">
      <c r="B33" s="1">
        <v>24</v>
      </c>
      <c r="C33" s="2" t="str">
        <f>VLOOKUP($B33,Sheet2!$C:$K,COLUMN(Sheet2!F$39)-2,0)</f>
        <v>绥化外埠所</v>
      </c>
      <c r="D33" s="55">
        <f>VLOOKUP($B33,Sheet2!$C:$K,COLUMN(Sheet2!G$39)-2,0)</f>
        <v>1.8460000000000001</v>
      </c>
      <c r="E33" s="56">
        <f>IFERROR(VLOOKUP(C33,Sheet2!N:O,2,0),"")</f>
        <v>0.06</v>
      </c>
      <c r="F33" s="3">
        <f t="shared" si="0"/>
        <v>3.2502708559046585E-2</v>
      </c>
      <c r="G33" s="22">
        <f t="shared" si="1"/>
        <v>3.0674846625766871E-2</v>
      </c>
      <c r="H33" s="63">
        <f>VLOOKUP($B33,Sheet2!$C:$K,COLUMN(Sheet2!H$39)-2,0)</f>
        <v>0</v>
      </c>
      <c r="I33" s="3">
        <f>VLOOKUP($B33,Sheet2!$C:$K,COLUMN(Sheet2!I$39)-2,0)</f>
        <v>0</v>
      </c>
      <c r="J33" s="69">
        <f>VLOOKUP($B33,Sheet2!$C:$K,COLUMN(Sheet2!J$39)-2,0)</f>
        <v>1.956</v>
      </c>
      <c r="K33" s="22">
        <f>VLOOKUP($B33,Sheet2!$C:$K,COLUMN(Sheet2!K$39)-2,0)</f>
        <v>-1</v>
      </c>
    </row>
    <row r="34" spans="2:11" x14ac:dyDescent="0.2">
      <c r="B34" s="5">
        <v>25</v>
      </c>
      <c r="C34" s="6" t="str">
        <f>VLOOKUP($B34,Sheet2!$C:$K,COLUMN(Sheet2!F$39)-2,0)</f>
        <v>伊春外埠所</v>
      </c>
      <c r="D34" s="57">
        <f>VLOOKUP($B34,Sheet2!$C:$K,COLUMN(Sheet2!G$39)-2,0)</f>
        <v>0.99399999999999999</v>
      </c>
      <c r="E34" s="58" t="str">
        <f>IFERROR(VLOOKUP(C34,Sheet2!N:O,2,0),"")</f>
        <v/>
      </c>
      <c r="F34" s="7" t="str">
        <f t="shared" si="0"/>
        <v/>
      </c>
      <c r="G34" s="12" t="str">
        <f t="shared" si="1"/>
        <v/>
      </c>
      <c r="H34" s="64">
        <f>VLOOKUP($B34,Sheet2!$C:$K,COLUMN(Sheet2!H$39)-2,0)</f>
        <v>0</v>
      </c>
      <c r="I34" s="7">
        <f>VLOOKUP($B34,Sheet2!$C:$K,COLUMN(Sheet2!I$39)-2,0)</f>
        <v>0</v>
      </c>
      <c r="J34" s="70">
        <f>VLOOKUP($B34,Sheet2!$C:$K,COLUMN(Sheet2!J$39)-2,0)</f>
        <v>1.8120000000000001</v>
      </c>
      <c r="K34" s="12">
        <f>VLOOKUP($B34,Sheet2!$C:$K,COLUMN(Sheet2!K$39)-2,0)</f>
        <v>-1</v>
      </c>
    </row>
  </sheetData>
  <mergeCells count="6">
    <mergeCell ref="E2:G2"/>
    <mergeCell ref="H2:K2"/>
    <mergeCell ref="B2:B3"/>
    <mergeCell ref="C2:C3"/>
    <mergeCell ref="B4:C4"/>
    <mergeCell ref="D2:D3"/>
  </mergeCells>
  <phoneticPr fontId="19" type="noConversion"/>
  <conditionalFormatting sqref="K4:K34 G4:G34">
    <cfRule type="cellIs" dxfId="1" priority="3" operator="lessThan">
      <formula>0</formula>
    </cfRule>
  </conditionalFormatting>
  <conditionalFormatting sqref="K5:K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:K34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showGridLines="0" workbookViewId="0">
      <selection activeCell="F30" activeCellId="3" sqref="F4:F10 F13:F19 F24:F28 F30:F35"/>
    </sheetView>
  </sheetViews>
  <sheetFormatPr defaultRowHeight="14.25" x14ac:dyDescent="0.2"/>
  <cols>
    <col min="2" max="2" width="9.375" bestFit="1" customWidth="1"/>
    <col min="3" max="4" width="10.75" customWidth="1"/>
    <col min="5" max="6" width="15.5" customWidth="1"/>
    <col min="7" max="7" width="25" customWidth="1"/>
    <col min="8" max="8" width="28.375" customWidth="1"/>
    <col min="9" max="9" width="34.875" customWidth="1"/>
    <col min="10" max="10" width="31.75" customWidth="1"/>
    <col min="11" max="11" width="31.5" customWidth="1"/>
    <col min="12" max="12" width="13.875" bestFit="1" customWidth="1"/>
    <col min="13" max="14" width="15.5" customWidth="1"/>
    <col min="15" max="16" width="28.375" customWidth="1"/>
    <col min="17" max="17" width="17.25" customWidth="1"/>
    <col min="18" max="18" width="20.625" customWidth="1"/>
    <col min="19" max="19" width="18.875" customWidth="1"/>
    <col min="20" max="20" width="28.375" customWidth="1"/>
    <col min="21" max="21" width="26.75" customWidth="1"/>
    <col min="22" max="22" width="18.875" customWidth="1"/>
    <col min="23" max="23" width="28.375" customWidth="1"/>
    <col min="24" max="24" width="26.75" customWidth="1"/>
    <col min="25" max="25" width="13.875" customWidth="1"/>
    <col min="26" max="26" width="18.875" customWidth="1"/>
    <col min="27" max="27" width="28.375" customWidth="1"/>
    <col min="28" max="28" width="26.75" customWidth="1"/>
    <col min="29" max="29" width="18.875" customWidth="1"/>
    <col min="30" max="30" width="28.375" customWidth="1"/>
    <col min="31" max="31" width="31.75" customWidth="1"/>
    <col min="32" max="32" width="26.75" customWidth="1"/>
    <col min="33" max="33" width="31.75" customWidth="1"/>
    <col min="34" max="34" width="23.875" customWidth="1"/>
    <col min="35" max="35" width="33.375" customWidth="1"/>
    <col min="36" max="36" width="15.5" customWidth="1"/>
    <col min="37" max="37" width="36.5" customWidth="1"/>
    <col min="38" max="38" width="30.5" customWidth="1"/>
    <col min="39" max="39" width="40.125" customWidth="1"/>
    <col min="40" max="40" width="38.375" customWidth="1"/>
    <col min="41" max="41" width="41.75" customWidth="1"/>
    <col min="42" max="42" width="43.125" customWidth="1"/>
    <col min="43" max="43" width="22.25" customWidth="1"/>
    <col min="44" max="46" width="26.75" customWidth="1"/>
    <col min="47" max="47" width="27.75" customWidth="1"/>
    <col min="48" max="48" width="43.375" customWidth="1"/>
    <col min="49" max="49" width="46.75" customWidth="1"/>
    <col min="50" max="50" width="41.75" customWidth="1"/>
    <col min="51" max="51" width="46.5" customWidth="1"/>
    <col min="52" max="52" width="33.375" customWidth="1"/>
    <col min="53" max="53" width="50.125" customWidth="1"/>
    <col min="54" max="54" width="48.375" customWidth="1"/>
    <col min="55" max="56" width="53.125" customWidth="1"/>
    <col min="57" max="57" width="39.25" customWidth="1"/>
    <col min="58" max="58" width="7.5" customWidth="1"/>
    <col min="59" max="59" width="13.875" customWidth="1"/>
    <col min="60" max="60" width="34.875" customWidth="1"/>
    <col min="61" max="61" width="31.75" customWidth="1"/>
    <col min="62" max="62" width="30.125" customWidth="1"/>
    <col min="63" max="63" width="17.25" customWidth="1"/>
    <col min="64" max="64" width="6" customWidth="1"/>
  </cols>
  <sheetData>
    <row r="1" spans="1:16" x14ac:dyDescent="0.2">
      <c r="E1" s="26" t="s">
        <v>44</v>
      </c>
      <c r="F1" s="26" t="s">
        <v>0</v>
      </c>
      <c r="G1" s="27" t="s">
        <v>54</v>
      </c>
      <c r="H1" s="27" t="s">
        <v>54</v>
      </c>
      <c r="I1" s="27" t="s">
        <v>54</v>
      </c>
      <c r="J1" s="27" t="s">
        <v>54</v>
      </c>
      <c r="K1" s="27" t="s">
        <v>54</v>
      </c>
      <c r="M1" s="26" t="s">
        <v>44</v>
      </c>
      <c r="N1" s="26" t="s">
        <v>1</v>
      </c>
      <c r="O1" s="27" t="s">
        <v>2</v>
      </c>
      <c r="P1" s="44" t="s">
        <v>36</v>
      </c>
    </row>
    <row r="2" spans="1:16" x14ac:dyDescent="0.2">
      <c r="E2" s="26" t="s">
        <v>44</v>
      </c>
      <c r="F2" s="26" t="s">
        <v>1</v>
      </c>
      <c r="G2" s="40" t="s">
        <v>2</v>
      </c>
      <c r="H2" s="40" t="s">
        <v>2</v>
      </c>
      <c r="I2" s="40" t="s">
        <v>2</v>
      </c>
      <c r="J2" s="40" t="s">
        <v>2</v>
      </c>
      <c r="K2" s="27" t="s">
        <v>2</v>
      </c>
      <c r="M2" s="26" t="s">
        <v>3</v>
      </c>
      <c r="N2" s="26" t="s">
        <v>4</v>
      </c>
      <c r="O2" s="27" t="s">
        <v>56</v>
      </c>
      <c r="P2" s="45" t="s">
        <v>56</v>
      </c>
    </row>
    <row r="3" spans="1:16" x14ac:dyDescent="0.2">
      <c r="E3" s="26" t="s">
        <v>3</v>
      </c>
      <c r="F3" s="26" t="s">
        <v>4</v>
      </c>
      <c r="G3" s="27" t="s">
        <v>47</v>
      </c>
      <c r="H3" s="27" t="s">
        <v>45</v>
      </c>
      <c r="I3" s="27" t="s">
        <v>52</v>
      </c>
      <c r="J3" s="27" t="s">
        <v>53</v>
      </c>
      <c r="K3" s="27" t="s">
        <v>46</v>
      </c>
      <c r="L3" t="str">
        <f>IF(N3="结果",M3,"")</f>
        <v/>
      </c>
      <c r="M3" s="27" t="s">
        <v>5</v>
      </c>
      <c r="N3" s="27" t="s">
        <v>7</v>
      </c>
      <c r="O3" s="23">
        <v>1.0449999999999999</v>
      </c>
      <c r="P3" s="38">
        <v>1.0449999999999999</v>
      </c>
    </row>
    <row r="4" spans="1:16" x14ac:dyDescent="0.2">
      <c r="C4" s="46">
        <f>RANK(D4,$D$4:$D$37)+COUNTIF($D$4:D4,D4)-1</f>
        <v>20</v>
      </c>
      <c r="D4" s="31">
        <f>K4</f>
        <v>-1</v>
      </c>
      <c r="E4" s="27" t="s">
        <v>5</v>
      </c>
      <c r="F4" s="27" t="s">
        <v>6</v>
      </c>
      <c r="G4" s="23">
        <v>2.0830000000000002</v>
      </c>
      <c r="H4" s="23"/>
      <c r="I4" s="35"/>
      <c r="J4" s="35">
        <v>2.2519999999999998</v>
      </c>
      <c r="K4" s="32">
        <v>-1</v>
      </c>
      <c r="L4" t="str">
        <f t="shared" ref="L4:L21" si="0">IF(N4="结果",M4,"")</f>
        <v/>
      </c>
      <c r="M4" s="27" t="s">
        <v>5</v>
      </c>
      <c r="N4" s="27" t="s">
        <v>8</v>
      </c>
      <c r="O4" s="23">
        <v>0.26600000000000001</v>
      </c>
      <c r="P4" s="38">
        <v>0.26600000000000001</v>
      </c>
    </row>
    <row r="5" spans="1:16" x14ac:dyDescent="0.2">
      <c r="C5" s="46">
        <f>RANK(D5,$D$4:$D$37)+COUNTIF($D$4:D5,D5)-1</f>
        <v>1</v>
      </c>
      <c r="D5" s="31">
        <f t="shared" ref="D5:D34" si="1">K5</f>
        <v>1.2826086956521701</v>
      </c>
      <c r="E5" s="27" t="s">
        <v>5</v>
      </c>
      <c r="F5" s="27" t="s">
        <v>7</v>
      </c>
      <c r="G5" s="23">
        <v>2.7069999999999999</v>
      </c>
      <c r="H5" s="23">
        <v>1.9950000000000001</v>
      </c>
      <c r="I5" s="41">
        <v>0.73697820465459896</v>
      </c>
      <c r="J5" s="35">
        <v>0.874</v>
      </c>
      <c r="K5" s="32">
        <v>1.2826086956521701</v>
      </c>
      <c r="L5" t="str">
        <f t="shared" si="0"/>
        <v/>
      </c>
      <c r="M5" s="27" t="s">
        <v>5</v>
      </c>
      <c r="N5" s="27" t="s">
        <v>9</v>
      </c>
      <c r="O5" s="23">
        <v>7.2999999999999995E-2</v>
      </c>
      <c r="P5" s="38">
        <v>7.2999999999999995E-2</v>
      </c>
    </row>
    <row r="6" spans="1:16" x14ac:dyDescent="0.2">
      <c r="C6" s="46">
        <f>RANK(D6,$D$4:$D$37)+COUNTIF($D$4:D6,D6)-1</f>
        <v>4</v>
      </c>
      <c r="D6" s="31">
        <f t="shared" si="1"/>
        <v>-0.81718213058419198</v>
      </c>
      <c r="E6" s="27" t="s">
        <v>5</v>
      </c>
      <c r="F6" s="27" t="s">
        <v>8</v>
      </c>
      <c r="G6" s="23">
        <v>1.538</v>
      </c>
      <c r="H6" s="23">
        <v>0.26600000000000001</v>
      </c>
      <c r="I6" s="41">
        <v>0.17295188556566998</v>
      </c>
      <c r="J6" s="35">
        <v>1.4550000000000001</v>
      </c>
      <c r="K6" s="32">
        <v>-0.81718213058419198</v>
      </c>
      <c r="L6" t="str">
        <f t="shared" si="0"/>
        <v/>
      </c>
      <c r="M6" s="27" t="s">
        <v>5</v>
      </c>
      <c r="N6" s="27" t="s">
        <v>10</v>
      </c>
      <c r="O6" s="23">
        <v>0.13500000000000001</v>
      </c>
      <c r="P6" s="38">
        <v>0.13500000000000001</v>
      </c>
    </row>
    <row r="7" spans="1:16" x14ac:dyDescent="0.2">
      <c r="C7" s="46">
        <f>RANK(D7,$D$4:$D$37)+COUNTIF($D$4:D7,D7)-1</f>
        <v>9</v>
      </c>
      <c r="D7" s="31">
        <f t="shared" si="1"/>
        <v>-0.90013869625520104</v>
      </c>
      <c r="E7" s="27" t="s">
        <v>5</v>
      </c>
      <c r="F7" s="27" t="s">
        <v>9</v>
      </c>
      <c r="G7" s="23">
        <v>1.0669999999999999</v>
      </c>
      <c r="H7" s="23">
        <v>7.1999999999999995E-2</v>
      </c>
      <c r="I7" s="41">
        <v>6.7478912839737601E-2</v>
      </c>
      <c r="J7" s="35">
        <v>0.72099999999999997</v>
      </c>
      <c r="K7" s="32">
        <v>-0.90013869625520104</v>
      </c>
      <c r="L7" t="str">
        <f t="shared" si="0"/>
        <v/>
      </c>
      <c r="M7" s="27" t="s">
        <v>5</v>
      </c>
      <c r="N7" s="27" t="s">
        <v>11</v>
      </c>
      <c r="O7" s="23">
        <v>0.27</v>
      </c>
      <c r="P7" s="38">
        <v>0.27</v>
      </c>
    </row>
    <row r="8" spans="1:16" x14ac:dyDescent="0.2">
      <c r="C8" s="46">
        <f>RANK(D8,$D$4:$D$37)+COUNTIF($D$4:D8,D8)-1</f>
        <v>5</v>
      </c>
      <c r="D8" s="31">
        <f t="shared" si="1"/>
        <v>-0.84933035714285698</v>
      </c>
      <c r="E8" s="27" t="s">
        <v>5</v>
      </c>
      <c r="F8" s="27" t="s">
        <v>10</v>
      </c>
      <c r="G8" s="23">
        <v>0.97799999999999998</v>
      </c>
      <c r="H8" s="23">
        <v>0.13500000000000001</v>
      </c>
      <c r="I8" s="41">
        <v>0.13803680981595101</v>
      </c>
      <c r="J8" s="35">
        <v>0.89600000000000002</v>
      </c>
      <c r="K8" s="32">
        <v>-0.84933035714285698</v>
      </c>
      <c r="L8" t="str">
        <f t="shared" si="0"/>
        <v>哈尔滨营业部</v>
      </c>
      <c r="M8" s="27" t="s">
        <v>5</v>
      </c>
      <c r="N8" s="29" t="s">
        <v>13</v>
      </c>
      <c r="O8" s="24">
        <v>1.7889999999999999</v>
      </c>
      <c r="P8" s="38">
        <v>1.7889999999999999</v>
      </c>
    </row>
    <row r="9" spans="1:16" x14ac:dyDescent="0.2">
      <c r="C9" s="46">
        <f>RANK(D9,$D$4:$D$37)+COUNTIF($D$4:D9,D9)-1</f>
        <v>6</v>
      </c>
      <c r="D9" s="31">
        <f t="shared" si="1"/>
        <v>-0.84988839285714302</v>
      </c>
      <c r="E9" s="27" t="s">
        <v>5</v>
      </c>
      <c r="F9" s="27" t="s">
        <v>11</v>
      </c>
      <c r="G9" s="23">
        <v>2.2570000000000001</v>
      </c>
      <c r="H9" s="23">
        <v>0.26900000000000002</v>
      </c>
      <c r="I9" s="41">
        <v>0.119184758529021</v>
      </c>
      <c r="J9" s="35">
        <v>1.792</v>
      </c>
      <c r="K9" s="32">
        <v>-0.84988839285714302</v>
      </c>
      <c r="L9" t="str">
        <f t="shared" si="0"/>
        <v/>
      </c>
      <c r="M9" s="27" t="s">
        <v>14</v>
      </c>
      <c r="N9" s="27" t="s">
        <v>15</v>
      </c>
      <c r="O9" s="23">
        <v>1.2999999999999999E-2</v>
      </c>
      <c r="P9" s="38">
        <v>1.2999999999999999E-2</v>
      </c>
    </row>
    <row r="10" spans="1:16" x14ac:dyDescent="0.2">
      <c r="C10" s="46">
        <f>RANK(D10,$D$4:$D$37)+COUNTIF($D$4:D10,D10)-1</f>
        <v>21</v>
      </c>
      <c r="D10" s="31">
        <f t="shared" si="1"/>
        <v>-1</v>
      </c>
      <c r="E10" s="27" t="s">
        <v>5</v>
      </c>
      <c r="F10" s="27" t="s">
        <v>12</v>
      </c>
      <c r="G10" s="23">
        <v>2.61</v>
      </c>
      <c r="H10" s="23"/>
      <c r="I10" s="35"/>
      <c r="J10" s="35">
        <v>3.2469999999999999</v>
      </c>
      <c r="K10" s="32">
        <v>-1</v>
      </c>
      <c r="L10" t="str">
        <f t="shared" si="0"/>
        <v/>
      </c>
      <c r="M10" s="27" t="s">
        <v>14</v>
      </c>
      <c r="N10" s="27" t="s">
        <v>16</v>
      </c>
      <c r="O10" s="23">
        <v>1.2E-2</v>
      </c>
      <c r="P10" s="38">
        <v>1.2E-2</v>
      </c>
    </row>
    <row r="11" spans="1:16" x14ac:dyDescent="0.2">
      <c r="C11" s="46"/>
      <c r="D11" s="31"/>
      <c r="E11" s="27" t="s">
        <v>5</v>
      </c>
      <c r="F11" s="27" t="s">
        <v>48</v>
      </c>
      <c r="G11" s="23"/>
      <c r="H11" s="23"/>
      <c r="I11" s="35"/>
      <c r="J11" s="35">
        <v>2E-3</v>
      </c>
      <c r="K11" s="32">
        <v>-1</v>
      </c>
      <c r="L11" t="str">
        <f t="shared" si="0"/>
        <v/>
      </c>
      <c r="M11" s="27" t="s">
        <v>14</v>
      </c>
      <c r="N11" s="27" t="s">
        <v>18</v>
      </c>
      <c r="O11" s="23">
        <v>0.35299999999999998</v>
      </c>
      <c r="P11" s="38">
        <v>0.35299999999999998</v>
      </c>
    </row>
    <row r="12" spans="1:16" x14ac:dyDescent="0.2">
      <c r="A12">
        <f>RANK(B12,$B$12:$B$37)</f>
        <v>1</v>
      </c>
      <c r="B12" s="31">
        <f>K12</f>
        <v>-0.75647299581813299</v>
      </c>
      <c r="C12" s="46"/>
      <c r="E12" s="27" t="s">
        <v>5</v>
      </c>
      <c r="F12" s="29" t="s">
        <v>13</v>
      </c>
      <c r="G12" s="24">
        <v>13.24</v>
      </c>
      <c r="H12" s="24">
        <v>2.7370000000000001</v>
      </c>
      <c r="I12" s="42">
        <v>0.20672205438066499</v>
      </c>
      <c r="J12" s="36">
        <v>11.239000000000001</v>
      </c>
      <c r="K12" s="33">
        <v>-0.75647299581813299</v>
      </c>
      <c r="L12" t="str">
        <f t="shared" si="0"/>
        <v/>
      </c>
      <c r="M12" s="27" t="s">
        <v>14</v>
      </c>
      <c r="N12" s="27" t="s">
        <v>19</v>
      </c>
      <c r="O12" s="23">
        <v>0.106</v>
      </c>
      <c r="P12" s="38">
        <v>0.106</v>
      </c>
    </row>
    <row r="13" spans="1:16" x14ac:dyDescent="0.2">
      <c r="C13" s="46">
        <f>RANK(D13,$D$4:$D$37)+COUNTIF($D$4:D13,D13)-1</f>
        <v>10</v>
      </c>
      <c r="D13" s="31">
        <f t="shared" si="1"/>
        <v>-0.9037037037037039</v>
      </c>
      <c r="E13" s="27" t="s">
        <v>14</v>
      </c>
      <c r="F13" s="27" t="s">
        <v>15</v>
      </c>
      <c r="G13" s="23">
        <v>0.40500000000000003</v>
      </c>
      <c r="H13" s="23">
        <v>1.2999999999999999E-2</v>
      </c>
      <c r="I13" s="41">
        <v>3.2098765432098803E-2</v>
      </c>
      <c r="J13" s="35">
        <v>0.13500000000000001</v>
      </c>
      <c r="K13" s="32">
        <v>-0.9037037037037039</v>
      </c>
      <c r="L13" t="str">
        <f t="shared" si="0"/>
        <v/>
      </c>
      <c r="M13" s="27" t="s">
        <v>14</v>
      </c>
      <c r="N13" s="27" t="s">
        <v>20</v>
      </c>
      <c r="O13" s="23">
        <v>8.3000000000000004E-2</v>
      </c>
      <c r="P13" s="38">
        <v>8.3000000000000004E-2</v>
      </c>
    </row>
    <row r="14" spans="1:16" x14ac:dyDescent="0.2">
      <c r="C14" s="46">
        <f>RANK(D14,$D$4:$D$37)+COUNTIF($D$4:D14,D14)-1</f>
        <v>19</v>
      </c>
      <c r="D14" s="31">
        <f t="shared" si="1"/>
        <v>-0.98902104300091498</v>
      </c>
      <c r="E14" s="27" t="s">
        <v>14</v>
      </c>
      <c r="F14" s="27" t="s">
        <v>16</v>
      </c>
      <c r="G14" s="23">
        <v>0.93</v>
      </c>
      <c r="H14" s="23">
        <v>1.2E-2</v>
      </c>
      <c r="I14" s="41">
        <v>1.2903225806451599E-2</v>
      </c>
      <c r="J14" s="35">
        <v>1.093</v>
      </c>
      <c r="K14" s="32">
        <v>-0.98902104300091498</v>
      </c>
      <c r="L14" t="str">
        <f t="shared" si="0"/>
        <v/>
      </c>
      <c r="M14" s="27" t="s">
        <v>14</v>
      </c>
      <c r="N14" s="27" t="s">
        <v>21</v>
      </c>
      <c r="O14" s="23">
        <v>0.06</v>
      </c>
      <c r="P14" s="38">
        <v>0.06</v>
      </c>
    </row>
    <row r="15" spans="1:16" x14ac:dyDescent="0.2">
      <c r="C15" s="46">
        <f>RANK(D15,$D$4:$D$37)+COUNTIF($D$4:D15,D15)-1</f>
        <v>22</v>
      </c>
      <c r="D15" s="31">
        <f t="shared" si="1"/>
        <v>-1</v>
      </c>
      <c r="E15" s="27" t="s">
        <v>14</v>
      </c>
      <c r="F15" s="27" t="s">
        <v>17</v>
      </c>
      <c r="G15" s="23">
        <v>0.56799999999999995</v>
      </c>
      <c r="H15" s="23"/>
      <c r="I15" s="35"/>
      <c r="J15" s="35">
        <v>0.47499999999999998</v>
      </c>
      <c r="K15" s="32">
        <v>-1</v>
      </c>
      <c r="L15" t="str">
        <f t="shared" si="0"/>
        <v/>
      </c>
      <c r="M15" s="27" t="s">
        <v>14</v>
      </c>
      <c r="N15" s="27" t="s">
        <v>48</v>
      </c>
      <c r="O15" s="23">
        <v>0.02</v>
      </c>
      <c r="P15" s="38">
        <v>0.02</v>
      </c>
    </row>
    <row r="16" spans="1:16" x14ac:dyDescent="0.2">
      <c r="C16" s="46">
        <f>RANK(D16,$D$4:$D$37)+COUNTIF($D$4:D16,D16)-1</f>
        <v>3</v>
      </c>
      <c r="D16" s="31">
        <f t="shared" si="1"/>
        <v>-0.81006493506493493</v>
      </c>
      <c r="E16" s="27" t="s">
        <v>14</v>
      </c>
      <c r="F16" s="27" t="s">
        <v>18</v>
      </c>
      <c r="G16" s="23">
        <v>1.6739999999999999</v>
      </c>
      <c r="H16" s="23">
        <v>0.35099999999999998</v>
      </c>
      <c r="I16" s="41">
        <v>0.209677419354839</v>
      </c>
      <c r="J16" s="35">
        <v>1.8480000000000001</v>
      </c>
      <c r="K16" s="32">
        <v>-0.81006493506493493</v>
      </c>
      <c r="L16" t="str">
        <f t="shared" si="0"/>
        <v>黑东营业部</v>
      </c>
      <c r="M16" s="27" t="s">
        <v>14</v>
      </c>
      <c r="N16" s="29" t="s">
        <v>13</v>
      </c>
      <c r="O16" s="24">
        <v>0.64700000000000002</v>
      </c>
      <c r="P16" s="38">
        <v>0.64700000000000002</v>
      </c>
    </row>
    <row r="17" spans="1:16" x14ac:dyDescent="0.2">
      <c r="C17" s="46">
        <f>RANK(D17,$D$4:$D$37)+COUNTIF($D$4:D17,D17)-1</f>
        <v>13</v>
      </c>
      <c r="D17" s="31">
        <f t="shared" si="1"/>
        <v>-0.95157606212882595</v>
      </c>
      <c r="E17" s="27" t="s">
        <v>14</v>
      </c>
      <c r="F17" s="27" t="s">
        <v>19</v>
      </c>
      <c r="G17" s="23">
        <v>2.0619999999999998</v>
      </c>
      <c r="H17" s="23">
        <v>0.106</v>
      </c>
      <c r="I17" s="41">
        <v>5.1406401551891398E-2</v>
      </c>
      <c r="J17" s="35">
        <v>2.1890000000000001</v>
      </c>
      <c r="K17" s="32">
        <v>-0.95157606212882595</v>
      </c>
      <c r="L17" t="str">
        <f t="shared" si="0"/>
        <v/>
      </c>
      <c r="M17" s="27" t="s">
        <v>22</v>
      </c>
      <c r="N17" s="27" t="s">
        <v>23</v>
      </c>
      <c r="O17" s="23">
        <v>2.3E-2</v>
      </c>
      <c r="P17" s="38">
        <v>2.3E-2</v>
      </c>
    </row>
    <row r="18" spans="1:16" x14ac:dyDescent="0.2">
      <c r="C18" s="46">
        <f>RANK(D18,$D$4:$D$37)+COUNTIF($D$4:D18,D18)-1</f>
        <v>7</v>
      </c>
      <c r="D18" s="31">
        <f t="shared" si="1"/>
        <v>-0.86504424778761102</v>
      </c>
      <c r="E18" s="27" t="s">
        <v>14</v>
      </c>
      <c r="F18" s="27" t="s">
        <v>20</v>
      </c>
      <c r="G18" s="23">
        <v>0.42199999999999999</v>
      </c>
      <c r="H18" s="23">
        <v>6.0999999999999999E-2</v>
      </c>
      <c r="I18" s="41">
        <v>0.14454976303317499</v>
      </c>
      <c r="J18" s="35">
        <v>0.45200000000000001</v>
      </c>
      <c r="K18" s="32">
        <v>-0.86504424778761102</v>
      </c>
      <c r="L18" t="str">
        <f t="shared" si="0"/>
        <v/>
      </c>
      <c r="M18" s="27" t="s">
        <v>22</v>
      </c>
      <c r="N18" s="27" t="s">
        <v>24</v>
      </c>
      <c r="O18" s="23">
        <v>7.0000000000000007E-2</v>
      </c>
      <c r="P18" s="38">
        <v>7.0000000000000007E-2</v>
      </c>
    </row>
    <row r="19" spans="1:16" x14ac:dyDescent="0.2">
      <c r="C19" s="46">
        <f>RANK(D19,$D$4:$D$37)+COUNTIF($D$4:D19,D19)-1</f>
        <v>17</v>
      </c>
      <c r="D19" s="31">
        <f t="shared" si="1"/>
        <v>-0.97458703939008895</v>
      </c>
      <c r="E19" s="27" t="s">
        <v>14</v>
      </c>
      <c r="F19" s="27" t="s">
        <v>21</v>
      </c>
      <c r="G19" s="23">
        <v>1.9390000000000001</v>
      </c>
      <c r="H19" s="23">
        <v>0.06</v>
      </c>
      <c r="I19" s="41">
        <v>3.0943785456420798E-2</v>
      </c>
      <c r="J19" s="35">
        <v>2.3610000000000002</v>
      </c>
      <c r="K19" s="32">
        <v>-0.97458703939008895</v>
      </c>
      <c r="L19" t="str">
        <f t="shared" si="0"/>
        <v/>
      </c>
      <c r="M19" s="27" t="s">
        <v>22</v>
      </c>
      <c r="N19" s="27" t="s">
        <v>25</v>
      </c>
      <c r="O19" s="23">
        <v>7.0000000000000007E-2</v>
      </c>
      <c r="P19" s="38">
        <v>7.0000000000000007E-2</v>
      </c>
    </row>
    <row r="20" spans="1:16" x14ac:dyDescent="0.2">
      <c r="C20" s="46"/>
      <c r="E20" s="27" t="s">
        <v>14</v>
      </c>
      <c r="F20" s="27" t="s">
        <v>48</v>
      </c>
      <c r="G20" s="23"/>
      <c r="H20" s="23">
        <v>0.02</v>
      </c>
      <c r="I20" s="35" t="s">
        <v>57</v>
      </c>
      <c r="J20" s="35"/>
      <c r="K20" s="93" t="s">
        <v>57</v>
      </c>
      <c r="L20" t="str">
        <f t="shared" si="0"/>
        <v/>
      </c>
      <c r="M20" s="27" t="s">
        <v>22</v>
      </c>
      <c r="N20" s="27" t="s">
        <v>26</v>
      </c>
      <c r="O20" s="23">
        <v>3.5000000000000003E-2</v>
      </c>
      <c r="P20" s="38">
        <v>3.5000000000000003E-2</v>
      </c>
    </row>
    <row r="21" spans="1:16" x14ac:dyDescent="0.2">
      <c r="A21">
        <f>RANK(B21,$B$12:$B$37)</f>
        <v>2</v>
      </c>
      <c r="B21" s="31">
        <f>K21</f>
        <v>-0.92716006079738089</v>
      </c>
      <c r="C21" s="46"/>
      <c r="D21" s="31"/>
      <c r="E21" s="27" t="s">
        <v>14</v>
      </c>
      <c r="F21" s="29" t="s">
        <v>13</v>
      </c>
      <c r="G21" s="24">
        <v>8</v>
      </c>
      <c r="H21" s="24">
        <v>0.623</v>
      </c>
      <c r="I21" s="42">
        <v>7.7875E-2</v>
      </c>
      <c r="J21" s="36">
        <v>8.5530000000000008</v>
      </c>
      <c r="K21" s="33">
        <v>-0.92716006079738089</v>
      </c>
      <c r="L21" t="str">
        <f t="shared" si="0"/>
        <v/>
      </c>
      <c r="M21" s="27" t="s">
        <v>22</v>
      </c>
      <c r="N21" s="27" t="s">
        <v>27</v>
      </c>
      <c r="O21" s="23">
        <v>0.12</v>
      </c>
      <c r="P21" s="38">
        <v>0.12</v>
      </c>
    </row>
    <row r="22" spans="1:16" x14ac:dyDescent="0.2">
      <c r="C22" s="46"/>
      <c r="D22" s="31"/>
      <c r="E22" s="27" t="s">
        <v>34</v>
      </c>
      <c r="F22" s="27" t="s">
        <v>35</v>
      </c>
      <c r="G22" s="23">
        <v>0.16</v>
      </c>
      <c r="H22" s="23"/>
      <c r="I22" s="35"/>
      <c r="J22" s="35">
        <v>0.16</v>
      </c>
      <c r="K22" s="32">
        <v>-1</v>
      </c>
      <c r="L22" t="str">
        <f>M22</f>
        <v>黑西营业部</v>
      </c>
      <c r="M22" s="27" t="s">
        <v>22</v>
      </c>
      <c r="N22" s="29" t="s">
        <v>13</v>
      </c>
      <c r="O22" s="24">
        <v>0.318</v>
      </c>
      <c r="P22" s="38">
        <v>0.318</v>
      </c>
    </row>
    <row r="23" spans="1:16" x14ac:dyDescent="0.2">
      <c r="A23">
        <f>RANK(B23,$B$12:$B$37)</f>
        <v>5</v>
      </c>
      <c r="B23" s="31">
        <f>K23</f>
        <v>-1</v>
      </c>
      <c r="C23" s="46"/>
      <c r="D23" s="31"/>
      <c r="E23" s="27" t="s">
        <v>34</v>
      </c>
      <c r="F23" s="29" t="s">
        <v>13</v>
      </c>
      <c r="G23" s="24">
        <v>0.16</v>
      </c>
      <c r="H23" s="24"/>
      <c r="I23" s="36"/>
      <c r="J23" s="36">
        <v>0.16</v>
      </c>
      <c r="K23" s="33">
        <v>-1</v>
      </c>
      <c r="M23" s="27" t="s">
        <v>28</v>
      </c>
      <c r="N23" s="27" t="s">
        <v>29</v>
      </c>
      <c r="O23" s="23">
        <v>0.184</v>
      </c>
      <c r="P23" s="38">
        <v>0.184</v>
      </c>
    </row>
    <row r="24" spans="1:16" x14ac:dyDescent="0.2">
      <c r="C24" s="46">
        <f>RANK(D24,$D$4:$D$37)+COUNTIF($D$4:D24,D24)-1</f>
        <v>12</v>
      </c>
      <c r="D24" s="31">
        <f t="shared" si="1"/>
        <v>-0.93931398416886491</v>
      </c>
      <c r="E24" s="27" t="s">
        <v>22</v>
      </c>
      <c r="F24" s="27" t="s">
        <v>23</v>
      </c>
      <c r="G24" s="23">
        <v>0.86299999999999999</v>
      </c>
      <c r="H24" s="23">
        <v>2.3E-2</v>
      </c>
      <c r="I24" s="41">
        <v>2.6651216685979098E-2</v>
      </c>
      <c r="J24" s="35">
        <v>0.379</v>
      </c>
      <c r="K24" s="32">
        <v>-0.93931398416886491</v>
      </c>
      <c r="M24" s="27" t="s">
        <v>28</v>
      </c>
      <c r="N24" s="27" t="s">
        <v>30</v>
      </c>
      <c r="O24" s="23">
        <v>4.4999999999999998E-2</v>
      </c>
      <c r="P24" s="38">
        <v>4.4999999999999998E-2</v>
      </c>
    </row>
    <row r="25" spans="1:16" x14ac:dyDescent="0.2">
      <c r="C25" s="46">
        <f>RANK(D25,$D$4:$D$37)+COUNTIF($D$4:D25,D25)-1</f>
        <v>16</v>
      </c>
      <c r="D25" s="31">
        <f t="shared" si="1"/>
        <v>-0.97354497354497394</v>
      </c>
      <c r="E25" s="27" t="s">
        <v>22</v>
      </c>
      <c r="F25" s="27" t="s">
        <v>24</v>
      </c>
      <c r="G25" s="23">
        <v>2.4329999999999998</v>
      </c>
      <c r="H25" s="23">
        <v>7.0000000000000007E-2</v>
      </c>
      <c r="I25" s="41">
        <v>2.8771064529387602E-2</v>
      </c>
      <c r="J25" s="35">
        <v>2.6459999999999999</v>
      </c>
      <c r="K25" s="32">
        <v>-0.97354497354497394</v>
      </c>
      <c r="M25" s="27" t="s">
        <v>28</v>
      </c>
      <c r="N25" s="27" t="s">
        <v>43</v>
      </c>
      <c r="O25" s="23">
        <v>0.06</v>
      </c>
      <c r="P25" s="38">
        <v>0.06</v>
      </c>
    </row>
    <row r="26" spans="1:16" x14ac:dyDescent="0.2">
      <c r="C26" s="46">
        <f>RANK(D26,$D$4:$D$37)+COUNTIF($D$4:D26,D26)-1</f>
        <v>18</v>
      </c>
      <c r="D26" s="31">
        <f t="shared" si="1"/>
        <v>-0.97622282608695699</v>
      </c>
      <c r="E26" s="27" t="s">
        <v>22</v>
      </c>
      <c r="F26" s="27" t="s">
        <v>25</v>
      </c>
      <c r="G26" s="23">
        <v>2.2389999999999999</v>
      </c>
      <c r="H26" s="23">
        <v>7.0000000000000007E-2</v>
      </c>
      <c r="I26" s="41">
        <v>3.1263957123715901E-2</v>
      </c>
      <c r="J26" s="35">
        <v>2.944</v>
      </c>
      <c r="K26" s="32">
        <v>-0.97622282608695699</v>
      </c>
      <c r="M26" s="27" t="s">
        <v>28</v>
      </c>
      <c r="N26" s="27" t="s">
        <v>33</v>
      </c>
      <c r="O26" s="23">
        <v>0.17</v>
      </c>
      <c r="P26" s="38">
        <v>0.17</v>
      </c>
    </row>
    <row r="27" spans="1:16" x14ac:dyDescent="0.2">
      <c r="C27" s="46">
        <f>RANK(D27,$D$4:$D$37)+COUNTIF($D$4:D27,D27)-1</f>
        <v>15</v>
      </c>
      <c r="D27" s="31">
        <f t="shared" si="1"/>
        <v>-0.957511380880121</v>
      </c>
      <c r="E27" s="27" t="s">
        <v>22</v>
      </c>
      <c r="F27" s="27" t="s">
        <v>26</v>
      </c>
      <c r="G27" s="23">
        <v>0.96399999999999997</v>
      </c>
      <c r="H27" s="23">
        <v>2.8000000000000001E-2</v>
      </c>
      <c r="I27" s="41">
        <v>2.9045643153527E-2</v>
      </c>
      <c r="J27" s="35">
        <v>0.65900000000000003</v>
      </c>
      <c r="K27" s="32">
        <v>-0.957511380880121</v>
      </c>
      <c r="L27" t="str">
        <f>M27</f>
        <v>黑中营业部</v>
      </c>
      <c r="M27" s="27" t="s">
        <v>28</v>
      </c>
      <c r="N27" s="29" t="s">
        <v>13</v>
      </c>
      <c r="O27" s="24">
        <v>0.45900000000000002</v>
      </c>
      <c r="P27" s="38">
        <v>0.45900000000000002</v>
      </c>
    </row>
    <row r="28" spans="1:16" x14ac:dyDescent="0.2">
      <c r="C28" s="46">
        <f>RANK(D28,$D$4:$D$37)+COUNTIF($D$4:D28,D28)-1</f>
        <v>14</v>
      </c>
      <c r="D28" s="31">
        <f t="shared" ref="D28" si="2">K28</f>
        <v>-0.95464852607709705</v>
      </c>
      <c r="E28" s="27" t="s">
        <v>22</v>
      </c>
      <c r="F28" s="27" t="s">
        <v>27</v>
      </c>
      <c r="G28" s="23">
        <v>2.5009999999999999</v>
      </c>
      <c r="H28" s="23">
        <v>0.12</v>
      </c>
      <c r="I28" s="41">
        <v>4.7980807676929194E-2</v>
      </c>
      <c r="J28" s="35">
        <v>2.6459999999999999</v>
      </c>
      <c r="K28" s="32">
        <v>-0.95464852607709705</v>
      </c>
      <c r="M28" s="30" t="s">
        <v>36</v>
      </c>
      <c r="N28" s="28"/>
      <c r="O28" s="25">
        <v>3.2130000000000001</v>
      </c>
      <c r="P28" s="39">
        <v>3.2130000000000001</v>
      </c>
    </row>
    <row r="29" spans="1:16" x14ac:dyDescent="0.2">
      <c r="A29">
        <f>RANK(B29,$B$12:$B$37)</f>
        <v>4</v>
      </c>
      <c r="B29" s="31">
        <f>K29</f>
        <v>-0.96646538710373098</v>
      </c>
      <c r="C29" s="46"/>
      <c r="D29" s="31"/>
      <c r="E29" s="27" t="s">
        <v>22</v>
      </c>
      <c r="F29" s="29" t="s">
        <v>13</v>
      </c>
      <c r="G29" s="24">
        <v>9</v>
      </c>
      <c r="H29" s="24">
        <v>0.311</v>
      </c>
      <c r="I29" s="42">
        <v>3.4555555555555603E-2</v>
      </c>
      <c r="J29" s="36">
        <v>9.2739999999999991</v>
      </c>
      <c r="K29" s="33">
        <v>-0.96646538710373098</v>
      </c>
    </row>
    <row r="30" spans="1:16" x14ac:dyDescent="0.2">
      <c r="C30" s="46">
        <f>RANK(D30,$D$4:$D$37)+COUNTIF($D$4:D30,D30)-1</f>
        <v>2</v>
      </c>
      <c r="D30" s="31">
        <f t="shared" si="1"/>
        <v>-0.63779527559055094</v>
      </c>
      <c r="E30" s="27" t="s">
        <v>28</v>
      </c>
      <c r="F30" s="27" t="s">
        <v>29</v>
      </c>
      <c r="G30" s="23">
        <v>1.0920000000000001</v>
      </c>
      <c r="H30" s="23">
        <v>0.184</v>
      </c>
      <c r="I30" s="41">
        <v>0.16849816849816901</v>
      </c>
      <c r="J30" s="35">
        <v>0.50800000000000001</v>
      </c>
      <c r="K30" s="32">
        <v>-0.63779527559055094</v>
      </c>
    </row>
    <row r="31" spans="1:16" x14ac:dyDescent="0.2">
      <c r="C31" s="46">
        <f>RANK(D31,$D$4:$D$37)+COUNTIF($D$4:D31,D31)-1</f>
        <v>8</v>
      </c>
      <c r="D31" s="31">
        <f t="shared" si="1"/>
        <v>-0.898876404494382</v>
      </c>
      <c r="E31" s="27" t="s">
        <v>28</v>
      </c>
      <c r="F31" s="27" t="s">
        <v>30</v>
      </c>
      <c r="G31" s="23">
        <v>0.624</v>
      </c>
      <c r="H31" s="23">
        <v>4.4999999999999998E-2</v>
      </c>
      <c r="I31" s="41">
        <v>7.2115384615384595E-2</v>
      </c>
      <c r="J31" s="35">
        <v>0.44500000000000001</v>
      </c>
      <c r="K31" s="32">
        <v>-0.898876404494382</v>
      </c>
    </row>
    <row r="32" spans="1:16" x14ac:dyDescent="0.2">
      <c r="C32" s="46">
        <f>RANK(D32,$D$4:$D$37)+COUNTIF($D$4:D32,D32)-1</f>
        <v>23</v>
      </c>
      <c r="D32" s="31">
        <f t="shared" si="1"/>
        <v>-1</v>
      </c>
      <c r="E32" s="27" t="s">
        <v>28</v>
      </c>
      <c r="F32" s="27" t="s">
        <v>31</v>
      </c>
      <c r="G32" s="23">
        <v>1.284</v>
      </c>
      <c r="H32" s="23"/>
      <c r="I32" s="35"/>
      <c r="J32" s="35">
        <v>1.673</v>
      </c>
      <c r="K32" s="32">
        <v>-1</v>
      </c>
    </row>
    <row r="33" spans="1:11" x14ac:dyDescent="0.2">
      <c r="C33" s="46">
        <f>RANK(D33,$D$4:$D$37)+COUNTIF($D$4:D33,D33)-1</f>
        <v>24</v>
      </c>
      <c r="D33" s="31">
        <f t="shared" si="1"/>
        <v>-1</v>
      </c>
      <c r="E33" s="27" t="s">
        <v>28</v>
      </c>
      <c r="F33" s="27" t="s">
        <v>43</v>
      </c>
      <c r="G33" s="23">
        <v>1.8460000000000001</v>
      </c>
      <c r="H33" s="23"/>
      <c r="I33" s="35"/>
      <c r="J33" s="35">
        <v>1.956</v>
      </c>
      <c r="K33" s="32">
        <v>-1</v>
      </c>
    </row>
    <row r="34" spans="1:11" x14ac:dyDescent="0.2">
      <c r="C34" s="46">
        <f>RANK(D34,$D$4:$D$37)+COUNTIF($D$4:D34,D34)-1</f>
        <v>25</v>
      </c>
      <c r="D34" s="31">
        <f t="shared" si="1"/>
        <v>-1</v>
      </c>
      <c r="E34" s="27" t="s">
        <v>28</v>
      </c>
      <c r="F34" s="27" t="s">
        <v>32</v>
      </c>
      <c r="G34" s="23">
        <v>0.99399999999999999</v>
      </c>
      <c r="H34" s="23"/>
      <c r="I34" s="35"/>
      <c r="J34" s="35">
        <v>1.8120000000000001</v>
      </c>
      <c r="K34" s="32">
        <v>-1</v>
      </c>
    </row>
    <row r="35" spans="1:11" x14ac:dyDescent="0.2">
      <c r="C35" s="46">
        <f>RANK(D35,$D$4:$D$37)+COUNTIF($D$4:D35,D35)-1</f>
        <v>11</v>
      </c>
      <c r="D35" s="31">
        <f t="shared" ref="D35" si="3">K35</f>
        <v>-0.93696275071633195</v>
      </c>
      <c r="E35" s="27" t="s">
        <v>28</v>
      </c>
      <c r="F35" s="27" t="s">
        <v>33</v>
      </c>
      <c r="G35" s="23">
        <v>1.76</v>
      </c>
      <c r="H35" s="23">
        <v>0.11</v>
      </c>
      <c r="I35" s="41">
        <v>6.25E-2</v>
      </c>
      <c r="J35" s="35">
        <v>1.7450000000000001</v>
      </c>
      <c r="K35" s="32">
        <v>-0.93696275071633195</v>
      </c>
    </row>
    <row r="36" spans="1:11" x14ac:dyDescent="0.2">
      <c r="E36" s="27" t="s">
        <v>28</v>
      </c>
      <c r="F36" s="27" t="s">
        <v>48</v>
      </c>
      <c r="G36" s="23"/>
      <c r="H36" s="23"/>
      <c r="I36" s="35"/>
      <c r="J36" s="35">
        <v>3.0000000000000001E-3</v>
      </c>
      <c r="K36" s="32">
        <v>-1</v>
      </c>
    </row>
    <row r="37" spans="1:11" x14ac:dyDescent="0.2">
      <c r="A37">
        <f>RANK(B37,$B$12:$B$37)</f>
        <v>3</v>
      </c>
      <c r="B37" s="31">
        <f>K37</f>
        <v>-0.95836403831982298</v>
      </c>
      <c r="D37" s="31"/>
      <c r="E37" s="27" t="s">
        <v>28</v>
      </c>
      <c r="F37" s="29" t="s">
        <v>13</v>
      </c>
      <c r="G37" s="24">
        <v>7.6</v>
      </c>
      <c r="H37" s="24">
        <v>0.33900000000000002</v>
      </c>
      <c r="I37" s="42">
        <v>4.4605263157894696E-2</v>
      </c>
      <c r="J37" s="36">
        <v>8.1419999999999995</v>
      </c>
      <c r="K37" s="33">
        <v>-0.95836403831982298</v>
      </c>
    </row>
    <row r="38" spans="1:11" x14ac:dyDescent="0.2">
      <c r="E38" s="30" t="s">
        <v>36</v>
      </c>
      <c r="F38" s="28"/>
      <c r="G38" s="25">
        <v>38</v>
      </c>
      <c r="H38" s="25">
        <v>4.01</v>
      </c>
      <c r="I38" s="43">
        <v>0.105526315789474</v>
      </c>
      <c r="J38" s="37">
        <v>37.368000000000002</v>
      </c>
      <c r="K38" s="34">
        <v>-0.89268893170627295</v>
      </c>
    </row>
  </sheetData>
  <phoneticPr fontId="19" type="noConversion"/>
  <conditionalFormatting sqref="C1:C1048576">
    <cfRule type="duplicateValues" dxfId="0" priority="1"/>
  </conditionalFormatting>
  <pageMargins left="0.7" right="0.7" top="0.75" bottom="0.75" header="0.3" footer="0.3"/>
  <pageSetup paperSize="9" orientation="portrait" verticalDpi="0" r:id="rId1"/>
  <customProperties>
    <customPr name="_pios_id" r:id="rId2"/>
    <customPr name="CofWorksheetType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2.8.900.96586</Revision>
</Application>
</file>

<file path=customXml/itemProps1.xml><?xml version="1.0" encoding="utf-8"?>
<ds:datastoreItem xmlns:ds="http://schemas.openxmlformats.org/officeDocument/2006/customXml" ds:itemID="{2A8CC1A8-38F2-42DF-87F6-ABCCB5E1E303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Sheet1</vt:lpstr>
      <vt:lpstr>Sheet2</vt:lpstr>
      <vt:lpstr>SAPCrosstab1</vt:lpstr>
      <vt:lpstr>SAPCrosstab2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1L1B 于军</dc:creator>
  <cp:lastModifiedBy>1L1B 于军</cp:lastModifiedBy>
  <dcterms:created xsi:type="dcterms:W3CDTF">2025-02-10T10:34:40Z</dcterms:created>
  <dcterms:modified xsi:type="dcterms:W3CDTF">2025-06-09T06:05:44Z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