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桌面\会议报表\营运月会\专案\2505-香爆脆\"/>
    </mc:Choice>
  </mc:AlternateContent>
  <bookViews>
    <workbookView xWindow="0" yWindow="0" windowWidth="28800" windowHeight="12240" firstSheet="1" activeTab="4"/>
  </bookViews>
  <sheets>
    <sheet name="_com.sap.ip.bi.xl.hiddensheet" sheetId="14" state="veryHidden" r:id="rId1"/>
    <sheet name="Sheet1" sheetId="8" r:id="rId2"/>
    <sheet name="Sheet2" sheetId="9" r:id="rId3"/>
    <sheet name="Sheet3" sheetId="10" r:id="rId4"/>
    <sheet name="Sheet4" sheetId="11" r:id="rId5"/>
    <sheet name="基础表" sheetId="5" r:id="rId6"/>
    <sheet name="4" sheetId="7" r:id="rId7"/>
    <sheet name="Sheet5" sheetId="13" r:id="rId8"/>
  </sheets>
  <definedNames>
    <definedName name="SAPCrosstab1">Sheet5!$A$1:$K$117</definedName>
    <definedName name="SAPCrosstab2">Sheet5!$O$1:$Q$112</definedName>
  </definedNames>
  <calcPr calcId="162913"/>
</workbook>
</file>

<file path=xl/calcChain.xml><?xml version="1.0" encoding="utf-8"?>
<calcChain xmlns="http://schemas.openxmlformats.org/spreadsheetml/2006/main">
  <c r="X29" i="8" l="1"/>
  <c r="X28" i="8"/>
  <c r="X27" i="8"/>
  <c r="X26" i="8"/>
  <c r="X25" i="8"/>
  <c r="X42" i="9"/>
  <c r="X41" i="9"/>
  <c r="X40" i="9"/>
  <c r="X39" i="9"/>
  <c r="X38" i="9"/>
  <c r="X33" i="10"/>
  <c r="X32" i="10"/>
  <c r="X31" i="10"/>
  <c r="X30" i="10"/>
  <c r="X29" i="10"/>
  <c r="X41" i="11"/>
  <c r="X40" i="11"/>
  <c r="X39" i="11"/>
  <c r="X38" i="11"/>
  <c r="X37" i="11"/>
  <c r="X24" i="9"/>
  <c r="W24" i="9"/>
  <c r="V24" i="9"/>
  <c r="X23" i="9"/>
  <c r="W23" i="9"/>
  <c r="V23" i="9"/>
  <c r="X22" i="9"/>
  <c r="W22" i="9"/>
  <c r="V22" i="9"/>
  <c r="X21" i="9"/>
  <c r="W21" i="9"/>
  <c r="V21" i="9"/>
  <c r="X20" i="9"/>
  <c r="W20" i="9"/>
  <c r="V20" i="9"/>
  <c r="X19" i="9"/>
  <c r="W19" i="9"/>
  <c r="V19" i="9"/>
  <c r="X18" i="9"/>
  <c r="W18" i="9"/>
  <c r="V18" i="9"/>
  <c r="X17" i="9"/>
  <c r="W17" i="9"/>
  <c r="V17" i="9"/>
  <c r="X16" i="9"/>
  <c r="W16" i="9"/>
  <c r="V16" i="9"/>
  <c r="X15" i="9"/>
  <c r="W15" i="9"/>
  <c r="V15" i="9"/>
  <c r="X14" i="9"/>
  <c r="W14" i="9"/>
  <c r="V14" i="9"/>
  <c r="X13" i="9"/>
  <c r="W13" i="9"/>
  <c r="V13" i="9"/>
  <c r="X12" i="9"/>
  <c r="W12" i="9"/>
  <c r="V12" i="9"/>
  <c r="X11" i="9"/>
  <c r="W11" i="9"/>
  <c r="V11" i="9"/>
  <c r="X10" i="9"/>
  <c r="W10" i="9"/>
  <c r="V10" i="9"/>
  <c r="X9" i="9"/>
  <c r="W9" i="9"/>
  <c r="V9" i="9"/>
  <c r="X8" i="9"/>
  <c r="W8" i="9"/>
  <c r="V8" i="9"/>
  <c r="X7" i="9"/>
  <c r="W7" i="9"/>
  <c r="V7" i="9"/>
  <c r="X6" i="9"/>
  <c r="W6" i="9"/>
  <c r="V6" i="9"/>
  <c r="X5" i="9"/>
  <c r="W5" i="9"/>
  <c r="V5" i="9"/>
  <c r="X4" i="9"/>
  <c r="W4" i="9"/>
  <c r="V4" i="9"/>
  <c r="X24" i="8"/>
  <c r="W24" i="8"/>
  <c r="V24" i="8"/>
  <c r="X23" i="8"/>
  <c r="W23" i="8"/>
  <c r="V23" i="8"/>
  <c r="X22" i="8"/>
  <c r="W22" i="8"/>
  <c r="V22" i="8"/>
  <c r="X21" i="8"/>
  <c r="W21" i="8"/>
  <c r="V21" i="8"/>
  <c r="X20" i="8"/>
  <c r="W20" i="8"/>
  <c r="V20" i="8"/>
  <c r="X19" i="8"/>
  <c r="W19" i="8"/>
  <c r="V19" i="8"/>
  <c r="X18" i="8"/>
  <c r="W18" i="8"/>
  <c r="V18" i="8"/>
  <c r="X17" i="8"/>
  <c r="W17" i="8"/>
  <c r="V17" i="8"/>
  <c r="X16" i="8"/>
  <c r="W16" i="8"/>
  <c r="V16" i="8"/>
  <c r="X15" i="8"/>
  <c r="W15" i="8"/>
  <c r="V15" i="8"/>
  <c r="X14" i="8"/>
  <c r="W14" i="8"/>
  <c r="V14" i="8"/>
  <c r="X13" i="8"/>
  <c r="W13" i="8"/>
  <c r="V13" i="8"/>
  <c r="X12" i="8"/>
  <c r="W12" i="8"/>
  <c r="V12" i="8"/>
  <c r="X11" i="8"/>
  <c r="W11" i="8"/>
  <c r="V11" i="8"/>
  <c r="X10" i="8"/>
  <c r="W10" i="8"/>
  <c r="V10" i="8"/>
  <c r="X9" i="8"/>
  <c r="W9" i="8"/>
  <c r="V9" i="8"/>
  <c r="X8" i="8"/>
  <c r="W8" i="8"/>
  <c r="V8" i="8"/>
  <c r="X7" i="8"/>
  <c r="W7" i="8"/>
  <c r="V7" i="8"/>
  <c r="X6" i="8"/>
  <c r="W6" i="8"/>
  <c r="V6" i="8"/>
  <c r="X5" i="8"/>
  <c r="W5" i="8"/>
  <c r="V5" i="8"/>
  <c r="X4" i="8"/>
  <c r="W4" i="8"/>
  <c r="V4" i="8"/>
  <c r="A81" i="7" l="1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J111" i="7"/>
  <c r="AH111" i="7"/>
  <c r="AG111" i="7"/>
  <c r="AK111" i="7" s="1"/>
  <c r="AF111" i="7"/>
  <c r="AE111" i="7"/>
  <c r="AD111" i="7"/>
  <c r="AC111" i="7"/>
  <c r="AB111" i="7"/>
  <c r="AA111" i="7"/>
  <c r="AJ110" i="7"/>
  <c r="AH110" i="7"/>
  <c r="AG110" i="7"/>
  <c r="AF110" i="7"/>
  <c r="AE110" i="7"/>
  <c r="AD110" i="7"/>
  <c r="AC110" i="7"/>
  <c r="AB110" i="7"/>
  <c r="AA110" i="7"/>
  <c r="AJ109" i="7"/>
  <c r="AK109" i="7" s="1"/>
  <c r="AH109" i="7"/>
  <c r="AG109" i="7"/>
  <c r="AI109" i="7" s="1"/>
  <c r="AF109" i="7"/>
  <c r="AE109" i="7"/>
  <c r="AD109" i="7"/>
  <c r="AC109" i="7"/>
  <c r="AB109" i="7"/>
  <c r="AA109" i="7"/>
  <c r="AJ108" i="7"/>
  <c r="AH108" i="7"/>
  <c r="AG108" i="7"/>
  <c r="AK108" i="7" s="1"/>
  <c r="AF108" i="7"/>
  <c r="AE108" i="7"/>
  <c r="AD108" i="7"/>
  <c r="AC108" i="7"/>
  <c r="AB108" i="7"/>
  <c r="AA108" i="7"/>
  <c r="AJ107" i="7"/>
  <c r="AH107" i="7"/>
  <c r="AG107" i="7"/>
  <c r="AK107" i="7" s="1"/>
  <c r="AF107" i="7"/>
  <c r="AE107" i="7"/>
  <c r="AD107" i="7"/>
  <c r="AC107" i="7"/>
  <c r="AB107" i="7"/>
  <c r="AA107" i="7"/>
  <c r="AK106" i="7"/>
  <c r="AJ106" i="7"/>
  <c r="AI106" i="7"/>
  <c r="AH106" i="7"/>
  <c r="AG106" i="7"/>
  <c r="AF106" i="7"/>
  <c r="AE106" i="7"/>
  <c r="AD106" i="7"/>
  <c r="AC106" i="7"/>
  <c r="AB106" i="7"/>
  <c r="AA106" i="7"/>
  <c r="AJ105" i="7"/>
  <c r="AH105" i="7"/>
  <c r="AG105" i="7"/>
  <c r="AK105" i="7" s="1"/>
  <c r="AF105" i="7"/>
  <c r="AE105" i="7"/>
  <c r="AD105" i="7"/>
  <c r="AC105" i="7"/>
  <c r="AB105" i="7"/>
  <c r="AA105" i="7"/>
  <c r="AK104" i="7"/>
  <c r="AJ104" i="7"/>
  <c r="AI104" i="7"/>
  <c r="AH104" i="7"/>
  <c r="AG104" i="7"/>
  <c r="AF104" i="7"/>
  <c r="AE104" i="7"/>
  <c r="AD104" i="7"/>
  <c r="AC104" i="7"/>
  <c r="AB104" i="7"/>
  <c r="AA104" i="7"/>
  <c r="AK103" i="7"/>
  <c r="AJ103" i="7"/>
  <c r="AH103" i="7"/>
  <c r="AG103" i="7"/>
  <c r="AI103" i="7" s="1"/>
  <c r="AF103" i="7"/>
  <c r="AE103" i="7"/>
  <c r="AD103" i="7"/>
  <c r="AC103" i="7"/>
  <c r="AB103" i="7"/>
  <c r="AA103" i="7"/>
  <c r="AJ102" i="7"/>
  <c r="AH102" i="7"/>
  <c r="AG102" i="7"/>
  <c r="AF102" i="7"/>
  <c r="AE102" i="7"/>
  <c r="AD102" i="7"/>
  <c r="AC102" i="7"/>
  <c r="AB102" i="7"/>
  <c r="AA102" i="7"/>
  <c r="AJ101" i="7"/>
  <c r="AK101" i="7" s="1"/>
  <c r="AI101" i="7"/>
  <c r="AH101" i="7"/>
  <c r="AG101" i="7"/>
  <c r="AF101" i="7"/>
  <c r="AE101" i="7"/>
  <c r="AD101" i="7"/>
  <c r="AC101" i="7"/>
  <c r="AB101" i="7"/>
  <c r="AA101" i="7"/>
  <c r="AJ100" i="7"/>
  <c r="AH100" i="7"/>
  <c r="AG100" i="7"/>
  <c r="AK100" i="7" s="1"/>
  <c r="AF100" i="7"/>
  <c r="AE100" i="7"/>
  <c r="AD100" i="7"/>
  <c r="AC100" i="7"/>
  <c r="AB100" i="7"/>
  <c r="AA100" i="7"/>
  <c r="AJ99" i="7"/>
  <c r="AH99" i="7"/>
  <c r="AG99" i="7"/>
  <c r="AK99" i="7" s="1"/>
  <c r="AF99" i="7"/>
  <c r="AE99" i="7"/>
  <c r="AD99" i="7"/>
  <c r="AC99" i="7"/>
  <c r="AB99" i="7"/>
  <c r="AA99" i="7"/>
  <c r="AK98" i="7"/>
  <c r="AJ98" i="7"/>
  <c r="AH98" i="7"/>
  <c r="AG98" i="7"/>
  <c r="AI98" i="7" s="1"/>
  <c r="AF98" i="7"/>
  <c r="AE98" i="7"/>
  <c r="AD98" i="7"/>
  <c r="AC98" i="7"/>
  <c r="AB98" i="7"/>
  <c r="AA98" i="7"/>
  <c r="AJ97" i="7"/>
  <c r="AH97" i="7"/>
  <c r="AG97" i="7"/>
  <c r="AK97" i="7" s="1"/>
  <c r="AF97" i="7"/>
  <c r="AE97" i="7"/>
  <c r="AD97" i="7"/>
  <c r="AC97" i="7"/>
  <c r="AB97" i="7"/>
  <c r="AA97" i="7"/>
  <c r="AK96" i="7"/>
  <c r="AJ96" i="7"/>
  <c r="AI96" i="7"/>
  <c r="AH96" i="7"/>
  <c r="AG96" i="7"/>
  <c r="AF96" i="7"/>
  <c r="AE96" i="7"/>
  <c r="AD96" i="7"/>
  <c r="AC96" i="7"/>
  <c r="AB96" i="7"/>
  <c r="AA96" i="7"/>
  <c r="AK95" i="7"/>
  <c r="AJ95" i="7"/>
  <c r="AH95" i="7"/>
  <c r="AI95" i="7" s="1"/>
  <c r="AG95" i="7"/>
  <c r="AF95" i="7"/>
  <c r="AE95" i="7"/>
  <c r="AD95" i="7"/>
  <c r="AC95" i="7"/>
  <c r="AB95" i="7"/>
  <c r="AA95" i="7"/>
  <c r="AJ94" i="7"/>
  <c r="AH94" i="7"/>
  <c r="AG94" i="7"/>
  <c r="AF94" i="7"/>
  <c r="AE94" i="7"/>
  <c r="AD94" i="7"/>
  <c r="AC94" i="7"/>
  <c r="AB94" i="7"/>
  <c r="AA94" i="7"/>
  <c r="AJ93" i="7"/>
  <c r="AI93" i="7"/>
  <c r="AH93" i="7"/>
  <c r="AG93" i="7"/>
  <c r="AK93" i="7" s="1"/>
  <c r="AF93" i="7"/>
  <c r="AE93" i="7"/>
  <c r="AD93" i="7"/>
  <c r="AC93" i="7"/>
  <c r="AB93" i="7"/>
  <c r="AA93" i="7"/>
  <c r="AJ92" i="7"/>
  <c r="AH92" i="7"/>
  <c r="AG92" i="7"/>
  <c r="AK92" i="7" s="1"/>
  <c r="AF92" i="7"/>
  <c r="AE92" i="7"/>
  <c r="AD92" i="7"/>
  <c r="AC92" i="7"/>
  <c r="AB92" i="7"/>
  <c r="AA92" i="7"/>
  <c r="AJ91" i="7"/>
  <c r="AH91" i="7"/>
  <c r="AG91" i="7"/>
  <c r="AK91" i="7" s="1"/>
  <c r="AF91" i="7"/>
  <c r="AE91" i="7"/>
  <c r="AD91" i="7"/>
  <c r="AC91" i="7"/>
  <c r="AB91" i="7"/>
  <c r="AA91" i="7"/>
  <c r="AK90" i="7"/>
  <c r="AJ90" i="7"/>
  <c r="AH90" i="7"/>
  <c r="AG90" i="7"/>
  <c r="AI90" i="7" s="1"/>
  <c r="AF90" i="7"/>
  <c r="AE90" i="7"/>
  <c r="AD90" i="7"/>
  <c r="AC90" i="7"/>
  <c r="AB90" i="7"/>
  <c r="AA90" i="7"/>
  <c r="AK89" i="7"/>
  <c r="AJ89" i="7"/>
  <c r="AH89" i="7"/>
  <c r="AG89" i="7"/>
  <c r="AI89" i="7" s="1"/>
  <c r="AF89" i="7"/>
  <c r="AE89" i="7"/>
  <c r="AD89" i="7"/>
  <c r="AC89" i="7"/>
  <c r="AB89" i="7"/>
  <c r="AA89" i="7"/>
  <c r="AK88" i="7"/>
  <c r="AJ88" i="7"/>
  <c r="AI88" i="7"/>
  <c r="AH88" i="7"/>
  <c r="AG88" i="7"/>
  <c r="AF88" i="7"/>
  <c r="AE88" i="7"/>
  <c r="AD88" i="7"/>
  <c r="AC88" i="7"/>
  <c r="AB88" i="7"/>
  <c r="AA88" i="7"/>
  <c r="AK87" i="7"/>
  <c r="AJ87" i="7"/>
  <c r="AI87" i="7"/>
  <c r="AH87" i="7"/>
  <c r="AG87" i="7"/>
  <c r="AF87" i="7"/>
  <c r="AE87" i="7"/>
  <c r="AD87" i="7"/>
  <c r="AC87" i="7"/>
  <c r="AB87" i="7"/>
  <c r="AA87" i="7"/>
  <c r="AJ86" i="7"/>
  <c r="AH86" i="7"/>
  <c r="AG86" i="7"/>
  <c r="AF86" i="7"/>
  <c r="AE86" i="7"/>
  <c r="AD86" i="7"/>
  <c r="AC86" i="7"/>
  <c r="AB86" i="7"/>
  <c r="AA86" i="7"/>
  <c r="AJ85" i="7"/>
  <c r="AH85" i="7"/>
  <c r="AG85" i="7"/>
  <c r="AI85" i="7" s="1"/>
  <c r="AF85" i="7"/>
  <c r="AE85" i="7"/>
  <c r="AD85" i="7"/>
  <c r="AC85" i="7"/>
  <c r="AB85" i="7"/>
  <c r="AA85" i="7"/>
  <c r="AJ84" i="7"/>
  <c r="AH84" i="7"/>
  <c r="AG84" i="7"/>
  <c r="AK84" i="7" s="1"/>
  <c r="AF84" i="7"/>
  <c r="AE84" i="7"/>
  <c r="AD84" i="7"/>
  <c r="AC84" i="7"/>
  <c r="AB84" i="7"/>
  <c r="AA84" i="7"/>
  <c r="AJ83" i="7"/>
  <c r="AH83" i="7"/>
  <c r="AG83" i="7"/>
  <c r="AK83" i="7" s="1"/>
  <c r="AF83" i="7"/>
  <c r="AE83" i="7"/>
  <c r="AD83" i="7"/>
  <c r="AC83" i="7"/>
  <c r="AB83" i="7"/>
  <c r="AA83" i="7"/>
  <c r="AK82" i="7"/>
  <c r="AJ82" i="7"/>
  <c r="AH82" i="7"/>
  <c r="AG82" i="7"/>
  <c r="AI82" i="7" s="1"/>
  <c r="AF82" i="7"/>
  <c r="AE82" i="7"/>
  <c r="AD82" i="7"/>
  <c r="AC82" i="7"/>
  <c r="AB82" i="7"/>
  <c r="AA82" i="7"/>
  <c r="AK81" i="7"/>
  <c r="AJ81" i="7"/>
  <c r="AH81" i="7"/>
  <c r="AG81" i="7"/>
  <c r="AI81" i="7" s="1"/>
  <c r="AF81" i="7"/>
  <c r="AE81" i="7"/>
  <c r="AD81" i="7"/>
  <c r="AC81" i="7"/>
  <c r="AB81" i="7"/>
  <c r="AA81" i="7"/>
  <c r="AK80" i="7"/>
  <c r="AJ80" i="7"/>
  <c r="AI80" i="7"/>
  <c r="AH80" i="7"/>
  <c r="AG80" i="7"/>
  <c r="AF80" i="7"/>
  <c r="AE80" i="7"/>
  <c r="AD80" i="7"/>
  <c r="AC80" i="7"/>
  <c r="AB80" i="7"/>
  <c r="AA80" i="7"/>
  <c r="AK79" i="7"/>
  <c r="AJ79" i="7"/>
  <c r="AI79" i="7"/>
  <c r="AH79" i="7"/>
  <c r="AG79" i="7"/>
  <c r="AF79" i="7"/>
  <c r="AE79" i="7"/>
  <c r="AD79" i="7"/>
  <c r="AC79" i="7"/>
  <c r="AB79" i="7"/>
  <c r="AA79" i="7"/>
  <c r="AJ78" i="7"/>
  <c r="AH78" i="7"/>
  <c r="AG78" i="7"/>
  <c r="AF78" i="7"/>
  <c r="AE78" i="7"/>
  <c r="AD78" i="7"/>
  <c r="AC78" i="7"/>
  <c r="AB78" i="7"/>
  <c r="AA78" i="7"/>
  <c r="AJ77" i="7"/>
  <c r="AH77" i="7"/>
  <c r="AG77" i="7"/>
  <c r="AI77" i="7" s="1"/>
  <c r="AF77" i="7"/>
  <c r="AE77" i="7"/>
  <c r="AD77" i="7"/>
  <c r="AC77" i="7"/>
  <c r="AB77" i="7"/>
  <c r="AA77" i="7"/>
  <c r="AJ76" i="7"/>
  <c r="AH76" i="7"/>
  <c r="AG76" i="7"/>
  <c r="AK76" i="7" s="1"/>
  <c r="AF76" i="7"/>
  <c r="AE76" i="7"/>
  <c r="AD76" i="7"/>
  <c r="AC76" i="7"/>
  <c r="AB76" i="7"/>
  <c r="AA76" i="7"/>
  <c r="AJ75" i="7"/>
  <c r="AH75" i="7"/>
  <c r="AG75" i="7"/>
  <c r="AK75" i="7" s="1"/>
  <c r="AF75" i="7"/>
  <c r="AE75" i="7"/>
  <c r="AD75" i="7"/>
  <c r="AC75" i="7"/>
  <c r="AB75" i="7"/>
  <c r="AA75" i="7"/>
  <c r="AK74" i="7"/>
  <c r="AJ74" i="7"/>
  <c r="AH74" i="7"/>
  <c r="AG74" i="7"/>
  <c r="AI74" i="7" s="1"/>
  <c r="AF74" i="7"/>
  <c r="AE74" i="7"/>
  <c r="AD74" i="7"/>
  <c r="AC74" i="7"/>
  <c r="AB74" i="7"/>
  <c r="AA74" i="7"/>
  <c r="AK73" i="7"/>
  <c r="AJ73" i="7"/>
  <c r="AH73" i="7"/>
  <c r="AG73" i="7"/>
  <c r="AI73" i="7" s="1"/>
  <c r="AF73" i="7"/>
  <c r="AE73" i="7"/>
  <c r="AD73" i="7"/>
  <c r="AC73" i="7"/>
  <c r="AB73" i="7"/>
  <c r="AA73" i="7"/>
  <c r="AK72" i="7"/>
  <c r="AJ72" i="7"/>
  <c r="AI72" i="7"/>
  <c r="AH72" i="7"/>
  <c r="AG72" i="7"/>
  <c r="AF72" i="7"/>
  <c r="AE72" i="7"/>
  <c r="AD72" i="7"/>
  <c r="AC72" i="7"/>
  <c r="AB72" i="7"/>
  <c r="AA72" i="7"/>
  <c r="AK71" i="7"/>
  <c r="AJ71" i="7"/>
  <c r="AI71" i="7"/>
  <c r="AH71" i="7"/>
  <c r="AG71" i="7"/>
  <c r="AF71" i="7"/>
  <c r="AE71" i="7"/>
  <c r="AD71" i="7"/>
  <c r="AC71" i="7"/>
  <c r="AB71" i="7"/>
  <c r="AA71" i="7"/>
  <c r="AJ70" i="7"/>
  <c r="AH70" i="7"/>
  <c r="AG70" i="7"/>
  <c r="AF70" i="7"/>
  <c r="AE70" i="7"/>
  <c r="AD70" i="7"/>
  <c r="AC70" i="7"/>
  <c r="AB70" i="7"/>
  <c r="AA70" i="7"/>
  <c r="AJ69" i="7"/>
  <c r="AH69" i="7"/>
  <c r="AG69" i="7"/>
  <c r="AI69" i="7" s="1"/>
  <c r="AF69" i="7"/>
  <c r="AE69" i="7"/>
  <c r="AD69" i="7"/>
  <c r="AC69" i="7"/>
  <c r="AB69" i="7"/>
  <c r="AA69" i="7"/>
  <c r="AJ68" i="7"/>
  <c r="AH68" i="7"/>
  <c r="AG68" i="7"/>
  <c r="AK68" i="7" s="1"/>
  <c r="AF68" i="7"/>
  <c r="AE68" i="7"/>
  <c r="AD68" i="7"/>
  <c r="AC68" i="7"/>
  <c r="AB68" i="7"/>
  <c r="AA68" i="7"/>
  <c r="AJ67" i="7"/>
  <c r="AH67" i="7"/>
  <c r="AG67" i="7"/>
  <c r="AK67" i="7" s="1"/>
  <c r="AF67" i="7"/>
  <c r="AE67" i="7"/>
  <c r="AD67" i="7"/>
  <c r="AC67" i="7"/>
  <c r="AB67" i="7"/>
  <c r="AA67" i="7"/>
  <c r="AK66" i="7"/>
  <c r="AJ66" i="7"/>
  <c r="AH66" i="7"/>
  <c r="AG66" i="7"/>
  <c r="AI66" i="7" s="1"/>
  <c r="AF66" i="7"/>
  <c r="AE66" i="7"/>
  <c r="AD66" i="7"/>
  <c r="AC66" i="7"/>
  <c r="AB66" i="7"/>
  <c r="AA66" i="7"/>
  <c r="AJ65" i="7"/>
  <c r="AH65" i="7"/>
  <c r="AG65" i="7"/>
  <c r="AK65" i="7" s="1"/>
  <c r="AF65" i="7"/>
  <c r="AE65" i="7"/>
  <c r="AD65" i="7"/>
  <c r="AC65" i="7"/>
  <c r="AB65" i="7"/>
  <c r="AA65" i="7"/>
  <c r="AJ64" i="7"/>
  <c r="AK64" i="7" s="1"/>
  <c r="AI64" i="7"/>
  <c r="AH64" i="7"/>
  <c r="AG64" i="7"/>
  <c r="AF64" i="7"/>
  <c r="AE64" i="7"/>
  <c r="AD64" i="7"/>
  <c r="AC64" i="7"/>
  <c r="AB64" i="7"/>
  <c r="AA64" i="7"/>
  <c r="AK63" i="7"/>
  <c r="AJ63" i="7"/>
  <c r="AI63" i="7"/>
  <c r="AH63" i="7"/>
  <c r="AG63" i="7"/>
  <c r="AF63" i="7"/>
  <c r="AE63" i="7"/>
  <c r="AD63" i="7"/>
  <c r="AC63" i="7"/>
  <c r="AB63" i="7"/>
  <c r="AA63" i="7"/>
  <c r="AJ62" i="7"/>
  <c r="AH62" i="7"/>
  <c r="AG62" i="7"/>
  <c r="AF62" i="7"/>
  <c r="AE62" i="7"/>
  <c r="AD62" i="7"/>
  <c r="AC62" i="7"/>
  <c r="AB62" i="7"/>
  <c r="AA62" i="7"/>
  <c r="AJ61" i="7"/>
  <c r="AH61" i="7"/>
  <c r="AG61" i="7"/>
  <c r="AI61" i="7" s="1"/>
  <c r="AF61" i="7"/>
  <c r="AE61" i="7"/>
  <c r="AD61" i="7"/>
  <c r="AC61" i="7"/>
  <c r="AB61" i="7"/>
  <c r="AA61" i="7"/>
  <c r="AJ60" i="7"/>
  <c r="AH60" i="7"/>
  <c r="AG60" i="7"/>
  <c r="AK60" i="7" s="1"/>
  <c r="AF60" i="7"/>
  <c r="AE60" i="7"/>
  <c r="AD60" i="7"/>
  <c r="AC60" i="7"/>
  <c r="AB60" i="7"/>
  <c r="AA60" i="7"/>
  <c r="AJ59" i="7"/>
  <c r="AH59" i="7"/>
  <c r="AG59" i="7"/>
  <c r="AK59" i="7" s="1"/>
  <c r="AF59" i="7"/>
  <c r="AE59" i="7"/>
  <c r="AD59" i="7"/>
  <c r="AC59" i="7"/>
  <c r="AB59" i="7"/>
  <c r="AA59" i="7"/>
  <c r="AK58" i="7"/>
  <c r="AJ58" i="7"/>
  <c r="AH58" i="7"/>
  <c r="AG58" i="7"/>
  <c r="AI58" i="7" s="1"/>
  <c r="AF58" i="7"/>
  <c r="AE58" i="7"/>
  <c r="AD58" i="7"/>
  <c r="AC58" i="7"/>
  <c r="AB58" i="7"/>
  <c r="AA58" i="7"/>
  <c r="AJ57" i="7"/>
  <c r="AH57" i="7"/>
  <c r="AG57" i="7"/>
  <c r="AK57" i="7" s="1"/>
  <c r="AF57" i="7"/>
  <c r="AE57" i="7"/>
  <c r="AD57" i="7"/>
  <c r="AC57" i="7"/>
  <c r="AB57" i="7"/>
  <c r="AA57" i="7"/>
  <c r="AJ56" i="7"/>
  <c r="AK56" i="7" s="1"/>
  <c r="AI56" i="7"/>
  <c r="AH56" i="7"/>
  <c r="AG56" i="7"/>
  <c r="AF56" i="7"/>
  <c r="AE56" i="7"/>
  <c r="AD56" i="7"/>
  <c r="AC56" i="7"/>
  <c r="AB56" i="7"/>
  <c r="AA56" i="7"/>
  <c r="AK55" i="7"/>
  <c r="AJ55" i="7"/>
  <c r="AI55" i="7"/>
  <c r="AH55" i="7"/>
  <c r="AG55" i="7"/>
  <c r="AF55" i="7"/>
  <c r="AE55" i="7"/>
  <c r="AD55" i="7"/>
  <c r="AC55" i="7"/>
  <c r="AB55" i="7"/>
  <c r="AA55" i="7"/>
  <c r="AJ54" i="7"/>
  <c r="AH54" i="7"/>
  <c r="AG54" i="7"/>
  <c r="AF54" i="7"/>
  <c r="AE54" i="7"/>
  <c r="AD54" i="7"/>
  <c r="AC54" i="7"/>
  <c r="AB54" i="7"/>
  <c r="AA54" i="7"/>
  <c r="AJ53" i="7"/>
  <c r="AH53" i="7"/>
  <c r="AG53" i="7"/>
  <c r="AI53" i="7" s="1"/>
  <c r="AF53" i="7"/>
  <c r="AE53" i="7"/>
  <c r="AD53" i="7"/>
  <c r="AC53" i="7"/>
  <c r="AB53" i="7"/>
  <c r="AA53" i="7"/>
  <c r="AJ52" i="7"/>
  <c r="AH52" i="7"/>
  <c r="AG52" i="7"/>
  <c r="AK52" i="7" s="1"/>
  <c r="AF52" i="7"/>
  <c r="AE52" i="7"/>
  <c r="AD52" i="7"/>
  <c r="AC52" i="7"/>
  <c r="AB52" i="7"/>
  <c r="AA52" i="7"/>
  <c r="AJ51" i="7"/>
  <c r="AH51" i="7"/>
  <c r="AG51" i="7"/>
  <c r="AK51" i="7" s="1"/>
  <c r="AF51" i="7"/>
  <c r="AE51" i="7"/>
  <c r="AD51" i="7"/>
  <c r="AC51" i="7"/>
  <c r="AB51" i="7"/>
  <c r="AA51" i="7"/>
  <c r="AK50" i="7"/>
  <c r="AJ50" i="7"/>
  <c r="AH50" i="7"/>
  <c r="AG50" i="7"/>
  <c r="AI50" i="7" s="1"/>
  <c r="AF50" i="7"/>
  <c r="AE50" i="7"/>
  <c r="AD50" i="7"/>
  <c r="AC50" i="7"/>
  <c r="AB50" i="7"/>
  <c r="AA50" i="7"/>
  <c r="AK49" i="7"/>
  <c r="AJ49" i="7"/>
  <c r="AH49" i="7"/>
  <c r="AG49" i="7"/>
  <c r="AI49" i="7" s="1"/>
  <c r="AF49" i="7"/>
  <c r="AE49" i="7"/>
  <c r="AD49" i="7"/>
  <c r="AC49" i="7"/>
  <c r="AB49" i="7"/>
  <c r="AA49" i="7"/>
  <c r="AJ48" i="7"/>
  <c r="AI48" i="7"/>
  <c r="AH48" i="7"/>
  <c r="AG48" i="7"/>
  <c r="AK48" i="7" s="1"/>
  <c r="AF48" i="7"/>
  <c r="AE48" i="7"/>
  <c r="AD48" i="7"/>
  <c r="AC48" i="7"/>
  <c r="AB48" i="7"/>
  <c r="AA48" i="7"/>
  <c r="AK47" i="7"/>
  <c r="AJ47" i="7"/>
  <c r="AI47" i="7"/>
  <c r="AH47" i="7"/>
  <c r="AG47" i="7"/>
  <c r="AF47" i="7"/>
  <c r="AE47" i="7"/>
  <c r="AD47" i="7"/>
  <c r="AC47" i="7"/>
  <c r="AB47" i="7"/>
  <c r="AA47" i="7"/>
  <c r="AJ46" i="7"/>
  <c r="AH46" i="7"/>
  <c r="AG46" i="7"/>
  <c r="AF46" i="7"/>
  <c r="AE46" i="7"/>
  <c r="AD46" i="7"/>
  <c r="AC46" i="7"/>
  <c r="AB46" i="7"/>
  <c r="AA46" i="7"/>
  <c r="AJ45" i="7"/>
  <c r="AH45" i="7"/>
  <c r="AG45" i="7"/>
  <c r="AI45" i="7" s="1"/>
  <c r="AF45" i="7"/>
  <c r="AE45" i="7"/>
  <c r="AD45" i="7"/>
  <c r="AC45" i="7"/>
  <c r="AB45" i="7"/>
  <c r="AA45" i="7"/>
  <c r="AJ44" i="7"/>
  <c r="AH44" i="7"/>
  <c r="AG44" i="7"/>
  <c r="AK44" i="7" s="1"/>
  <c r="AF44" i="7"/>
  <c r="AE44" i="7"/>
  <c r="AD44" i="7"/>
  <c r="AC44" i="7"/>
  <c r="AB44" i="7"/>
  <c r="AA44" i="7"/>
  <c r="AJ43" i="7"/>
  <c r="AH43" i="7"/>
  <c r="AG43" i="7"/>
  <c r="AK43" i="7" s="1"/>
  <c r="AF43" i="7"/>
  <c r="AE43" i="7"/>
  <c r="AD43" i="7"/>
  <c r="AC43" i="7"/>
  <c r="AB43" i="7"/>
  <c r="AA43" i="7"/>
  <c r="AK42" i="7"/>
  <c r="AJ42" i="7"/>
  <c r="AH42" i="7"/>
  <c r="AG42" i="7"/>
  <c r="AI42" i="7" s="1"/>
  <c r="AF42" i="7"/>
  <c r="AE42" i="7"/>
  <c r="AD42" i="7"/>
  <c r="AC42" i="7"/>
  <c r="AB42" i="7"/>
  <c r="AA42" i="7"/>
  <c r="AK41" i="7"/>
  <c r="AJ41" i="7"/>
  <c r="AH41" i="7"/>
  <c r="AG41" i="7"/>
  <c r="AI41" i="7" s="1"/>
  <c r="AF41" i="7"/>
  <c r="AE41" i="7"/>
  <c r="AD41" i="7"/>
  <c r="AC41" i="7"/>
  <c r="AB41" i="7"/>
  <c r="AA41" i="7"/>
  <c r="AK40" i="7"/>
  <c r="AJ40" i="7"/>
  <c r="AI40" i="7"/>
  <c r="AH40" i="7"/>
  <c r="AG40" i="7"/>
  <c r="AF40" i="7"/>
  <c r="AE40" i="7"/>
  <c r="AD40" i="7"/>
  <c r="AC40" i="7"/>
  <c r="AB40" i="7"/>
  <c r="AA40" i="7"/>
  <c r="AK39" i="7"/>
  <c r="AJ39" i="7"/>
  <c r="AI39" i="7"/>
  <c r="AH39" i="7"/>
  <c r="AG39" i="7"/>
  <c r="AF39" i="7"/>
  <c r="AE39" i="7"/>
  <c r="AD39" i="7"/>
  <c r="AC39" i="7"/>
  <c r="AB39" i="7"/>
  <c r="AA39" i="7"/>
  <c r="AJ38" i="7"/>
  <c r="AH38" i="7"/>
  <c r="AG38" i="7"/>
  <c r="AF38" i="7"/>
  <c r="AE38" i="7"/>
  <c r="AD38" i="7"/>
  <c r="AC38" i="7"/>
  <c r="AB38" i="7"/>
  <c r="AA38" i="7"/>
  <c r="AJ37" i="7"/>
  <c r="AH37" i="7"/>
  <c r="AG37" i="7"/>
  <c r="AI37" i="7" s="1"/>
  <c r="AF37" i="7"/>
  <c r="AE37" i="7"/>
  <c r="AD37" i="7"/>
  <c r="AC37" i="7"/>
  <c r="AB37" i="7"/>
  <c r="AA37" i="7"/>
  <c r="AJ36" i="7"/>
  <c r="AH36" i="7"/>
  <c r="AG36" i="7"/>
  <c r="AK36" i="7" s="1"/>
  <c r="AF36" i="7"/>
  <c r="AE36" i="7"/>
  <c r="AD36" i="7"/>
  <c r="AC36" i="7"/>
  <c r="AB36" i="7"/>
  <c r="AA36" i="7"/>
  <c r="AJ35" i="7"/>
  <c r="AH35" i="7"/>
  <c r="AG35" i="7"/>
  <c r="AK35" i="7" s="1"/>
  <c r="AF35" i="7"/>
  <c r="AE35" i="7"/>
  <c r="AD35" i="7"/>
  <c r="AC35" i="7"/>
  <c r="AB35" i="7"/>
  <c r="AA35" i="7"/>
  <c r="AK34" i="7"/>
  <c r="AJ34" i="7"/>
  <c r="AH34" i="7"/>
  <c r="AG34" i="7"/>
  <c r="AI34" i="7" s="1"/>
  <c r="AF34" i="7"/>
  <c r="AE34" i="7"/>
  <c r="AD34" i="7"/>
  <c r="AC34" i="7"/>
  <c r="AB34" i="7"/>
  <c r="AA34" i="7"/>
  <c r="AJ33" i="7"/>
  <c r="AH33" i="7"/>
  <c r="AG33" i="7"/>
  <c r="AK33" i="7" s="1"/>
  <c r="AF33" i="7"/>
  <c r="AE33" i="7"/>
  <c r="AD33" i="7"/>
  <c r="AC33" i="7"/>
  <c r="AB33" i="7"/>
  <c r="AA33" i="7"/>
  <c r="AJ32" i="7"/>
  <c r="AI32" i="7"/>
  <c r="AH32" i="7"/>
  <c r="AG32" i="7"/>
  <c r="AK32" i="7" s="1"/>
  <c r="AF32" i="7"/>
  <c r="AE32" i="7"/>
  <c r="AD32" i="7"/>
  <c r="AC32" i="7"/>
  <c r="AB32" i="7"/>
  <c r="AA32" i="7"/>
  <c r="AJ31" i="7"/>
  <c r="AH31" i="7"/>
  <c r="AG31" i="7"/>
  <c r="AK31" i="7" s="1"/>
  <c r="AF31" i="7"/>
  <c r="AE31" i="7"/>
  <c r="AD31" i="7"/>
  <c r="AC31" i="7"/>
  <c r="AB31" i="7"/>
  <c r="AA31" i="7"/>
  <c r="AJ30" i="7"/>
  <c r="AH30" i="7"/>
  <c r="AG30" i="7"/>
  <c r="AF30" i="7"/>
  <c r="AE30" i="7"/>
  <c r="AD30" i="7"/>
  <c r="AC30" i="7"/>
  <c r="AB30" i="7"/>
  <c r="AA30" i="7"/>
  <c r="AJ29" i="7"/>
  <c r="AH29" i="7"/>
  <c r="AG29" i="7"/>
  <c r="AI29" i="7" s="1"/>
  <c r="AF29" i="7"/>
  <c r="AE29" i="7"/>
  <c r="AD29" i="7"/>
  <c r="AC29" i="7"/>
  <c r="AB29" i="7"/>
  <c r="AA29" i="7"/>
  <c r="AJ28" i="7"/>
  <c r="AH28" i="7"/>
  <c r="AG28" i="7"/>
  <c r="AK28" i="7" s="1"/>
  <c r="AF28" i="7"/>
  <c r="AE28" i="7"/>
  <c r="AD28" i="7"/>
  <c r="AC28" i="7"/>
  <c r="AB28" i="7"/>
  <c r="AA28" i="7"/>
  <c r="AK27" i="7"/>
  <c r="AJ27" i="7"/>
  <c r="AH27" i="7"/>
  <c r="AG27" i="7"/>
  <c r="AI27" i="7" s="1"/>
  <c r="AF27" i="7"/>
  <c r="AE27" i="7"/>
  <c r="AD27" i="7"/>
  <c r="AC27" i="7"/>
  <c r="AB27" i="7"/>
  <c r="AA27" i="7"/>
  <c r="AK26" i="7"/>
  <c r="AJ26" i="7"/>
  <c r="AH26" i="7"/>
  <c r="AI26" i="7" s="1"/>
  <c r="AG26" i="7"/>
  <c r="AF26" i="7"/>
  <c r="AE26" i="7"/>
  <c r="AD26" i="7"/>
  <c r="AC26" i="7"/>
  <c r="AB26" i="7"/>
  <c r="AA26" i="7"/>
  <c r="AJ25" i="7"/>
  <c r="AI25" i="7"/>
  <c r="AH25" i="7"/>
  <c r="AG25" i="7"/>
  <c r="AK25" i="7" s="1"/>
  <c r="AF25" i="7"/>
  <c r="AE25" i="7"/>
  <c r="AD25" i="7"/>
  <c r="AC25" i="7"/>
  <c r="AB25" i="7"/>
  <c r="AA25" i="7"/>
  <c r="AJ24" i="7"/>
  <c r="AI24" i="7"/>
  <c r="AH24" i="7"/>
  <c r="AG24" i="7"/>
  <c r="AK24" i="7" s="1"/>
  <c r="AF24" i="7"/>
  <c r="AE24" i="7"/>
  <c r="AD24" i="7"/>
  <c r="AC24" i="7"/>
  <c r="AB24" i="7"/>
  <c r="AA24" i="7"/>
  <c r="AJ23" i="7"/>
  <c r="AH23" i="7"/>
  <c r="AG23" i="7"/>
  <c r="AK23" i="7" s="1"/>
  <c r="AF23" i="7"/>
  <c r="AE23" i="7"/>
  <c r="AD23" i="7"/>
  <c r="AC23" i="7"/>
  <c r="AB23" i="7"/>
  <c r="AA23" i="7"/>
  <c r="AJ22" i="7"/>
  <c r="AH22" i="7"/>
  <c r="AG22" i="7"/>
  <c r="AF22" i="7"/>
  <c r="AE22" i="7"/>
  <c r="AD22" i="7"/>
  <c r="AC22" i="7"/>
  <c r="AB22" i="7"/>
  <c r="AA22" i="7"/>
  <c r="AJ21" i="7"/>
  <c r="AH21" i="7"/>
  <c r="AG21" i="7"/>
  <c r="AI21" i="7" s="1"/>
  <c r="AF21" i="7"/>
  <c r="AE21" i="7"/>
  <c r="AD21" i="7"/>
  <c r="AC21" i="7"/>
  <c r="AB21" i="7"/>
  <c r="AA21" i="7"/>
  <c r="AJ20" i="7"/>
  <c r="AH20" i="7"/>
  <c r="AG20" i="7"/>
  <c r="AK20" i="7" s="1"/>
  <c r="AF20" i="7"/>
  <c r="AE20" i="7"/>
  <c r="AD20" i="7"/>
  <c r="AC20" i="7"/>
  <c r="AB20" i="7"/>
  <c r="AA20" i="7"/>
  <c r="AK19" i="7"/>
  <c r="AJ19" i="7"/>
  <c r="AH19" i="7"/>
  <c r="AG19" i="7"/>
  <c r="AI19" i="7" s="1"/>
  <c r="AF19" i="7"/>
  <c r="AE19" i="7"/>
  <c r="AD19" i="7"/>
  <c r="AC19" i="7"/>
  <c r="AB19" i="7"/>
  <c r="AA19" i="7"/>
  <c r="AK18" i="7"/>
  <c r="AJ18" i="7"/>
  <c r="AH18" i="7"/>
  <c r="AG18" i="7"/>
  <c r="AI18" i="7" s="1"/>
  <c r="AF18" i="7"/>
  <c r="AE18" i="7"/>
  <c r="AD18" i="7"/>
  <c r="AC18" i="7"/>
  <c r="AB18" i="7"/>
  <c r="AA18" i="7"/>
  <c r="AJ17" i="7"/>
  <c r="AI17" i="7"/>
  <c r="AH17" i="7"/>
  <c r="AG17" i="7"/>
  <c r="AK17" i="7" s="1"/>
  <c r="AF17" i="7"/>
  <c r="AE17" i="7"/>
  <c r="AD17" i="7"/>
  <c r="AC17" i="7"/>
  <c r="AB17" i="7"/>
  <c r="AA17" i="7"/>
  <c r="AJ16" i="7"/>
  <c r="AI16" i="7"/>
  <c r="AH16" i="7"/>
  <c r="AG16" i="7"/>
  <c r="AK16" i="7" s="1"/>
  <c r="AF16" i="7"/>
  <c r="AE16" i="7"/>
  <c r="AD16" i="7"/>
  <c r="AC16" i="7"/>
  <c r="AB16" i="7"/>
  <c r="AA16" i="7"/>
  <c r="AJ15" i="7"/>
  <c r="AH15" i="7"/>
  <c r="AG15" i="7"/>
  <c r="AK15" i="7" s="1"/>
  <c r="AF15" i="7"/>
  <c r="AE15" i="7"/>
  <c r="AD15" i="7"/>
  <c r="AC15" i="7"/>
  <c r="AB15" i="7"/>
  <c r="AA15" i="7"/>
  <c r="AJ14" i="7"/>
  <c r="AH14" i="7"/>
  <c r="AG14" i="7"/>
  <c r="AF14" i="7"/>
  <c r="AE14" i="7"/>
  <c r="AD14" i="7"/>
  <c r="AC14" i="7"/>
  <c r="AB14" i="7"/>
  <c r="AA14" i="7"/>
  <c r="AJ13" i="7"/>
  <c r="AH13" i="7"/>
  <c r="AG13" i="7"/>
  <c r="AI13" i="7" s="1"/>
  <c r="AF13" i="7"/>
  <c r="AE13" i="7"/>
  <c r="AD13" i="7"/>
  <c r="AC13" i="7"/>
  <c r="AB13" i="7"/>
  <c r="AA13" i="7"/>
  <c r="AK12" i="7"/>
  <c r="AJ12" i="7"/>
  <c r="AH12" i="7"/>
  <c r="AG12" i="7"/>
  <c r="AI12" i="7" s="1"/>
  <c r="AF12" i="7"/>
  <c r="AE12" i="7"/>
  <c r="AD12" i="7"/>
  <c r="AC12" i="7"/>
  <c r="AB12" i="7"/>
  <c r="AA12" i="7"/>
  <c r="AK11" i="7"/>
  <c r="AJ11" i="7"/>
  <c r="AH11" i="7"/>
  <c r="AG11" i="7"/>
  <c r="AF11" i="7"/>
  <c r="AE11" i="7"/>
  <c r="AD11" i="7"/>
  <c r="AC11" i="7"/>
  <c r="AB11" i="7"/>
  <c r="AA11" i="7"/>
  <c r="AK10" i="7"/>
  <c r="AJ10" i="7"/>
  <c r="AI10" i="7"/>
  <c r="AH10" i="7"/>
  <c r="AG10" i="7"/>
  <c r="AF10" i="7"/>
  <c r="AE10" i="7"/>
  <c r="AD10" i="7"/>
  <c r="AC10" i="7"/>
  <c r="AB10" i="7"/>
  <c r="AA10" i="7"/>
  <c r="AJ9" i="7"/>
  <c r="AI9" i="7"/>
  <c r="AH9" i="7"/>
  <c r="AG9" i="7"/>
  <c r="AK9" i="7" s="1"/>
  <c r="AF9" i="7"/>
  <c r="AE9" i="7"/>
  <c r="AD9" i="7"/>
  <c r="AC9" i="7"/>
  <c r="AB9" i="7"/>
  <c r="AA9" i="7"/>
  <c r="AJ8" i="7"/>
  <c r="AI8" i="7"/>
  <c r="AH8" i="7"/>
  <c r="AG8" i="7"/>
  <c r="AK8" i="7" s="1"/>
  <c r="AF8" i="7"/>
  <c r="AE8" i="7"/>
  <c r="AD8" i="7"/>
  <c r="AC8" i="7"/>
  <c r="AB8" i="7"/>
  <c r="AA8" i="7"/>
  <c r="AJ7" i="7"/>
  <c r="AH7" i="7"/>
  <c r="AG7" i="7"/>
  <c r="AK7" i="7" s="1"/>
  <c r="AF7" i="7"/>
  <c r="AE7" i="7"/>
  <c r="AD7" i="7"/>
  <c r="AC7" i="7"/>
  <c r="AB7" i="7"/>
  <c r="AA7" i="7"/>
  <c r="AH6" i="7"/>
  <c r="AG6" i="7"/>
  <c r="AF6" i="7"/>
  <c r="AE6" i="7"/>
  <c r="AD6" i="7"/>
  <c r="AC6" i="7"/>
  <c r="AB6" i="7"/>
  <c r="AA6" i="7"/>
  <c r="X111" i="7"/>
  <c r="X110" i="7"/>
  <c r="X109" i="7"/>
  <c r="X108" i="7"/>
  <c r="X107" i="7"/>
  <c r="X106" i="7"/>
  <c r="X105" i="7"/>
  <c r="X104" i="7"/>
  <c r="X103" i="7"/>
  <c r="X102" i="7"/>
  <c r="X101" i="7"/>
  <c r="X100" i="7"/>
  <c r="X99" i="7"/>
  <c r="X98" i="7"/>
  <c r="X97" i="7"/>
  <c r="X96" i="7"/>
  <c r="X95" i="7"/>
  <c r="X94" i="7"/>
  <c r="X93" i="7"/>
  <c r="X92" i="7"/>
  <c r="X91" i="7"/>
  <c r="X90" i="7"/>
  <c r="X89" i="7"/>
  <c r="X88" i="7"/>
  <c r="X87" i="7"/>
  <c r="X86" i="7"/>
  <c r="X85" i="7"/>
  <c r="X83" i="7"/>
  <c r="X82" i="7"/>
  <c r="X81" i="7"/>
  <c r="X80" i="7"/>
  <c r="X79" i="7"/>
  <c r="X78" i="7"/>
  <c r="X77" i="7"/>
  <c r="X76" i="7"/>
  <c r="X74" i="7"/>
  <c r="X73" i="7"/>
  <c r="X72" i="7"/>
  <c r="X71" i="7"/>
  <c r="X70" i="7"/>
  <c r="X69" i="7"/>
  <c r="X68" i="7"/>
  <c r="X67" i="7"/>
  <c r="X66" i="7"/>
  <c r="X65" i="7"/>
  <c r="X64" i="7"/>
  <c r="X63" i="7"/>
  <c r="X62" i="7"/>
  <c r="X61" i="7"/>
  <c r="X60" i="7"/>
  <c r="X59" i="7"/>
  <c r="X58" i="7"/>
  <c r="X57" i="7"/>
  <c r="X56" i="7"/>
  <c r="X55" i="7"/>
  <c r="X54" i="7"/>
  <c r="X53" i="7"/>
  <c r="X52" i="7"/>
  <c r="X51" i="7"/>
  <c r="X50" i="7"/>
  <c r="X49" i="7"/>
  <c r="X48" i="7"/>
  <c r="X47" i="7"/>
  <c r="X46" i="7"/>
  <c r="X45" i="7"/>
  <c r="X44" i="7"/>
  <c r="X43" i="7"/>
  <c r="X42" i="7"/>
  <c r="X41" i="7"/>
  <c r="X40" i="7"/>
  <c r="X39" i="7"/>
  <c r="X38" i="7"/>
  <c r="X37" i="7"/>
  <c r="X36" i="7"/>
  <c r="X35" i="7"/>
  <c r="X34" i="7"/>
  <c r="X33" i="7"/>
  <c r="X32" i="7"/>
  <c r="X31" i="7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X7" i="7"/>
  <c r="X6" i="7"/>
  <c r="H3" i="5"/>
  <c r="I3" i="5"/>
  <c r="J3" i="5"/>
  <c r="K4" i="5"/>
  <c r="L4" i="5"/>
  <c r="M4" i="5"/>
  <c r="N4" i="5"/>
  <c r="O4" i="5"/>
  <c r="P4" i="5"/>
  <c r="Q4" i="5"/>
  <c r="R4" i="5"/>
  <c r="S4" i="5"/>
  <c r="T4" i="5"/>
  <c r="U4" i="5"/>
  <c r="K5" i="5"/>
  <c r="M5" i="5"/>
  <c r="L5" i="5"/>
  <c r="N5" i="5"/>
  <c r="O5" i="5"/>
  <c r="P5" i="5"/>
  <c r="Q5" i="5"/>
  <c r="R5" i="5"/>
  <c r="S5" i="5"/>
  <c r="T5" i="5"/>
  <c r="U5" i="5"/>
  <c r="K6" i="5"/>
  <c r="M6" i="5"/>
  <c r="L6" i="5"/>
  <c r="N6" i="5"/>
  <c r="O6" i="5"/>
  <c r="P6" i="5"/>
  <c r="Q6" i="5"/>
  <c r="R6" i="5"/>
  <c r="S6" i="5"/>
  <c r="T6" i="5"/>
  <c r="U6" i="5"/>
  <c r="K7" i="5"/>
  <c r="M7" i="5"/>
  <c r="B7" i="5"/>
  <c r="A7" i="5"/>
  <c r="L7" i="5"/>
  <c r="N7" i="5"/>
  <c r="O7" i="5"/>
  <c r="P7" i="5"/>
  <c r="Q7" i="5"/>
  <c r="R7" i="5"/>
  <c r="S7" i="5"/>
  <c r="T7" i="5"/>
  <c r="U7" i="5"/>
  <c r="K8" i="5"/>
  <c r="M8" i="5"/>
  <c r="L8" i="5"/>
  <c r="N8" i="5"/>
  <c r="O8" i="5"/>
  <c r="P8" i="5"/>
  <c r="Q8" i="5"/>
  <c r="R8" i="5"/>
  <c r="S8" i="5"/>
  <c r="T8" i="5"/>
  <c r="U8" i="5"/>
  <c r="K9" i="5"/>
  <c r="L9" i="5"/>
  <c r="M9" i="5"/>
  <c r="N9" i="5"/>
  <c r="O9" i="5"/>
  <c r="P9" i="5"/>
  <c r="Q9" i="5"/>
  <c r="R9" i="5"/>
  <c r="S9" i="5"/>
  <c r="T9" i="5"/>
  <c r="U9" i="5"/>
  <c r="K10" i="5"/>
  <c r="L10" i="5"/>
  <c r="M10" i="5"/>
  <c r="B10" i="5"/>
  <c r="A10" i="5"/>
  <c r="N10" i="5"/>
  <c r="O10" i="5"/>
  <c r="P10" i="5"/>
  <c r="Q10" i="5"/>
  <c r="R10" i="5"/>
  <c r="S10" i="5"/>
  <c r="T10" i="5"/>
  <c r="U10" i="5"/>
  <c r="K11" i="5"/>
  <c r="M11" i="5"/>
  <c r="L11" i="5"/>
  <c r="N11" i="5"/>
  <c r="O11" i="5"/>
  <c r="P11" i="5"/>
  <c r="Q11" i="5"/>
  <c r="R11" i="5"/>
  <c r="R4" i="8"/>
  <c r="S11" i="5"/>
  <c r="T11" i="5"/>
  <c r="U11" i="5"/>
  <c r="K12" i="5"/>
  <c r="L12" i="5"/>
  <c r="M12" i="5"/>
  <c r="N12" i="5"/>
  <c r="O12" i="5"/>
  <c r="P12" i="5"/>
  <c r="Q12" i="5"/>
  <c r="R12" i="5"/>
  <c r="S12" i="5"/>
  <c r="T12" i="5"/>
  <c r="U12" i="5"/>
  <c r="K13" i="5"/>
  <c r="M13" i="5"/>
  <c r="L13" i="5"/>
  <c r="N13" i="5"/>
  <c r="O13" i="5"/>
  <c r="P13" i="5"/>
  <c r="Q13" i="5"/>
  <c r="R13" i="5"/>
  <c r="S13" i="5"/>
  <c r="T13" i="5"/>
  <c r="U13" i="5"/>
  <c r="K14" i="5"/>
  <c r="M14" i="5"/>
  <c r="L14" i="5"/>
  <c r="N14" i="5"/>
  <c r="O14" i="5"/>
  <c r="P14" i="5"/>
  <c r="Q14" i="5"/>
  <c r="R14" i="5"/>
  <c r="S14" i="5"/>
  <c r="T14" i="5"/>
  <c r="U14" i="5"/>
  <c r="K15" i="5"/>
  <c r="M15" i="5"/>
  <c r="L15" i="5"/>
  <c r="N15" i="5"/>
  <c r="O15" i="5"/>
  <c r="P15" i="5"/>
  <c r="Q15" i="5"/>
  <c r="R15" i="5"/>
  <c r="S15" i="5"/>
  <c r="T15" i="5"/>
  <c r="U15" i="5"/>
  <c r="K16" i="5"/>
  <c r="M16" i="5"/>
  <c r="B16" i="5"/>
  <c r="A16" i="5"/>
  <c r="L16" i="5"/>
  <c r="N16" i="5"/>
  <c r="O16" i="5"/>
  <c r="P16" i="5"/>
  <c r="Q16" i="5"/>
  <c r="R16" i="5"/>
  <c r="S16" i="5"/>
  <c r="T16" i="5"/>
  <c r="U16" i="5"/>
  <c r="K17" i="5"/>
  <c r="L17" i="5"/>
  <c r="M17" i="5"/>
  <c r="N17" i="5"/>
  <c r="O17" i="5"/>
  <c r="P17" i="5"/>
  <c r="Q17" i="5"/>
  <c r="R17" i="5"/>
  <c r="S17" i="5"/>
  <c r="T17" i="5"/>
  <c r="U17" i="5"/>
  <c r="K18" i="5"/>
  <c r="L18" i="5"/>
  <c r="M18" i="5"/>
  <c r="N18" i="5"/>
  <c r="O18" i="5"/>
  <c r="P18" i="5"/>
  <c r="Q18" i="5"/>
  <c r="R18" i="5"/>
  <c r="S18" i="5"/>
  <c r="T18" i="5"/>
  <c r="U18" i="5"/>
  <c r="K19" i="5"/>
  <c r="L19" i="5"/>
  <c r="M19" i="5"/>
  <c r="N19" i="5"/>
  <c r="O19" i="5"/>
  <c r="P19" i="5"/>
  <c r="Q19" i="5"/>
  <c r="R19" i="5"/>
  <c r="S19" i="5"/>
  <c r="T19" i="5"/>
  <c r="U19" i="5"/>
  <c r="K20" i="5"/>
  <c r="M20" i="5"/>
  <c r="L20" i="5"/>
  <c r="N20" i="5"/>
  <c r="O20" i="5"/>
  <c r="P20" i="5"/>
  <c r="Q20" i="5"/>
  <c r="R20" i="5"/>
  <c r="S20" i="5"/>
  <c r="T20" i="5"/>
  <c r="U20" i="5"/>
  <c r="K21" i="5"/>
  <c r="M21" i="5"/>
  <c r="L21" i="5"/>
  <c r="N21" i="5"/>
  <c r="O21" i="5"/>
  <c r="P21" i="5"/>
  <c r="Q21" i="5"/>
  <c r="R21" i="5"/>
  <c r="S21" i="5"/>
  <c r="T21" i="5"/>
  <c r="U21" i="5"/>
  <c r="K22" i="5"/>
  <c r="M22" i="5"/>
  <c r="L22" i="5"/>
  <c r="N22" i="5"/>
  <c r="O22" i="5"/>
  <c r="P22" i="5"/>
  <c r="Q22" i="5"/>
  <c r="R22" i="5"/>
  <c r="S22" i="5"/>
  <c r="T22" i="5"/>
  <c r="U22" i="5"/>
  <c r="K23" i="5"/>
  <c r="M23" i="5"/>
  <c r="L23" i="5"/>
  <c r="N23" i="5"/>
  <c r="O23" i="5"/>
  <c r="P23" i="5"/>
  <c r="Q23" i="5"/>
  <c r="R23" i="5"/>
  <c r="S23" i="5"/>
  <c r="T23" i="5"/>
  <c r="U23" i="5"/>
  <c r="K24" i="5"/>
  <c r="M24" i="5"/>
  <c r="L24" i="5"/>
  <c r="N24" i="5"/>
  <c r="O24" i="5"/>
  <c r="P24" i="5"/>
  <c r="Q24" i="5"/>
  <c r="R24" i="5"/>
  <c r="S24" i="5"/>
  <c r="T24" i="5"/>
  <c r="U24" i="5"/>
  <c r="K25" i="5"/>
  <c r="L25" i="5"/>
  <c r="M25" i="5"/>
  <c r="M4" i="9"/>
  <c r="N25" i="5"/>
  <c r="O25" i="5"/>
  <c r="P25" i="5"/>
  <c r="Q25" i="5"/>
  <c r="R25" i="5"/>
  <c r="S25" i="5"/>
  <c r="T25" i="5"/>
  <c r="U25" i="5"/>
  <c r="U4" i="9"/>
  <c r="K26" i="5"/>
  <c r="L26" i="5"/>
  <c r="M26" i="5"/>
  <c r="N26" i="5"/>
  <c r="O26" i="5"/>
  <c r="P26" i="5"/>
  <c r="Q26" i="5"/>
  <c r="R26" i="5"/>
  <c r="S26" i="5"/>
  <c r="T26" i="5"/>
  <c r="U26" i="5"/>
  <c r="K27" i="5"/>
  <c r="L27" i="5"/>
  <c r="M27" i="5"/>
  <c r="N27" i="5"/>
  <c r="O27" i="5"/>
  <c r="P27" i="5"/>
  <c r="Q27" i="5"/>
  <c r="R27" i="5"/>
  <c r="S27" i="5"/>
  <c r="T27" i="5"/>
  <c r="U27" i="5"/>
  <c r="K28" i="5"/>
  <c r="M28" i="5"/>
  <c r="L28" i="5"/>
  <c r="N28" i="5"/>
  <c r="O28" i="5"/>
  <c r="P28" i="5"/>
  <c r="Q28" i="5"/>
  <c r="R28" i="5"/>
  <c r="S28" i="5"/>
  <c r="T28" i="5"/>
  <c r="U28" i="5"/>
  <c r="K29" i="5"/>
  <c r="M29" i="5"/>
  <c r="L29" i="5"/>
  <c r="N29" i="5"/>
  <c r="O29" i="5"/>
  <c r="P29" i="5"/>
  <c r="Q29" i="5"/>
  <c r="R29" i="5"/>
  <c r="S29" i="5"/>
  <c r="T29" i="5"/>
  <c r="U29" i="5"/>
  <c r="K30" i="5"/>
  <c r="M30" i="5"/>
  <c r="L30" i="5"/>
  <c r="N30" i="5"/>
  <c r="O30" i="5"/>
  <c r="P30" i="5"/>
  <c r="Q30" i="5"/>
  <c r="R30" i="5"/>
  <c r="S30" i="5"/>
  <c r="T30" i="5"/>
  <c r="U30" i="5"/>
  <c r="K31" i="5"/>
  <c r="M31" i="5"/>
  <c r="L31" i="5"/>
  <c r="N31" i="5"/>
  <c r="O31" i="5"/>
  <c r="P31" i="5"/>
  <c r="Q31" i="5"/>
  <c r="R31" i="5"/>
  <c r="S31" i="5"/>
  <c r="T31" i="5"/>
  <c r="U31" i="5"/>
  <c r="K32" i="5"/>
  <c r="M32" i="5"/>
  <c r="L32" i="5"/>
  <c r="N32" i="5"/>
  <c r="O32" i="5"/>
  <c r="P32" i="5"/>
  <c r="Q32" i="5"/>
  <c r="R32" i="5"/>
  <c r="S32" i="5"/>
  <c r="T32" i="5"/>
  <c r="U32" i="5"/>
  <c r="K33" i="5"/>
  <c r="L33" i="5"/>
  <c r="M33" i="5"/>
  <c r="N33" i="5"/>
  <c r="O33" i="5"/>
  <c r="K34" i="5"/>
  <c r="M34" i="5"/>
  <c r="L34" i="5"/>
  <c r="N34" i="5"/>
  <c r="O34" i="5"/>
  <c r="L4" i="11"/>
  <c r="O4" i="9"/>
  <c r="O4" i="10"/>
  <c r="Y104" i="7"/>
  <c r="Y101" i="7"/>
  <c r="Y98" i="7"/>
  <c r="Y96" i="7"/>
  <c r="Y88" i="7"/>
  <c r="Y82" i="7"/>
  <c r="Y79" i="7"/>
  <c r="Y73" i="7"/>
  <c r="Y70" i="7"/>
  <c r="Y67" i="7"/>
  <c r="Y64" i="7"/>
  <c r="Y58" i="7"/>
  <c r="Y55" i="7"/>
  <c r="Y52" i="7"/>
  <c r="Y46" i="7"/>
  <c r="Y43" i="7"/>
  <c r="Y40" i="7"/>
  <c r="Y34" i="7"/>
  <c r="Y28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9" i="7"/>
  <c r="Y30" i="7"/>
  <c r="Y31" i="7"/>
  <c r="Y32" i="7"/>
  <c r="Y33" i="7"/>
  <c r="Y35" i="7"/>
  <c r="Y36" i="7"/>
  <c r="Y37" i="7"/>
  <c r="Y38" i="7"/>
  <c r="Y39" i="7"/>
  <c r="Y41" i="7"/>
  <c r="Y42" i="7"/>
  <c r="Y44" i="7"/>
  <c r="Y45" i="7"/>
  <c r="Y47" i="7"/>
  <c r="Y48" i="7"/>
  <c r="Y49" i="7"/>
  <c r="Y50" i="7"/>
  <c r="Y51" i="7"/>
  <c r="Y53" i="7"/>
  <c r="Y54" i="7"/>
  <c r="Y56" i="7"/>
  <c r="Y57" i="7"/>
  <c r="Y59" i="7"/>
  <c r="Y60" i="7"/>
  <c r="Y61" i="7"/>
  <c r="Y62" i="7"/>
  <c r="Y63" i="7"/>
  <c r="Y65" i="7"/>
  <c r="Y66" i="7"/>
  <c r="Y68" i="7"/>
  <c r="Y69" i="7"/>
  <c r="Y71" i="7"/>
  <c r="Y72" i="7"/>
  <c r="Y74" i="7"/>
  <c r="Y75" i="7"/>
  <c r="Y76" i="7"/>
  <c r="Y77" i="7"/>
  <c r="Y78" i="7"/>
  <c r="Y80" i="7"/>
  <c r="Y81" i="7"/>
  <c r="Y83" i="7"/>
  <c r="Y84" i="7"/>
  <c r="Y85" i="7"/>
  <c r="Y86" i="7"/>
  <c r="Y87" i="7"/>
  <c r="Y89" i="7"/>
  <c r="Y90" i="7"/>
  <c r="Y91" i="7"/>
  <c r="Y92" i="7"/>
  <c r="Y94" i="7"/>
  <c r="Y95" i="7"/>
  <c r="Y97" i="7"/>
  <c r="Y99" i="7"/>
  <c r="Y100" i="7"/>
  <c r="Y102" i="7"/>
  <c r="Y103" i="7"/>
  <c r="Y105" i="7"/>
  <c r="Y106" i="7"/>
  <c r="Y107" i="7"/>
  <c r="Y108" i="7"/>
  <c r="Y109" i="7"/>
  <c r="Y110" i="7"/>
  <c r="Y111" i="7"/>
  <c r="Y6" i="7"/>
  <c r="AJ6" i="7"/>
  <c r="AK6" i="7"/>
  <c r="AL7" i="7"/>
  <c r="AM7" i="7"/>
  <c r="AL8" i="7"/>
  <c r="AM8" i="7"/>
  <c r="AL9" i="7"/>
  <c r="AM9" i="7"/>
  <c r="AL10" i="7"/>
  <c r="AM10" i="7"/>
  <c r="AL11" i="7"/>
  <c r="AM11" i="7"/>
  <c r="AL12" i="7"/>
  <c r="AM12" i="7"/>
  <c r="AL13" i="7"/>
  <c r="AM13" i="7"/>
  <c r="AL14" i="7"/>
  <c r="AM14" i="7"/>
  <c r="AL15" i="7"/>
  <c r="AM15" i="7"/>
  <c r="AL16" i="7"/>
  <c r="AM16" i="7"/>
  <c r="AL17" i="7"/>
  <c r="AM17" i="7"/>
  <c r="AL18" i="7"/>
  <c r="AM18" i="7"/>
  <c r="AL19" i="7"/>
  <c r="AM19" i="7"/>
  <c r="AL20" i="7"/>
  <c r="AM20" i="7"/>
  <c r="AL21" i="7"/>
  <c r="AM21" i="7"/>
  <c r="AL22" i="7"/>
  <c r="AM22" i="7"/>
  <c r="AL23" i="7"/>
  <c r="AM23" i="7"/>
  <c r="AL24" i="7"/>
  <c r="AM24" i="7"/>
  <c r="AL25" i="7"/>
  <c r="AM25" i="7"/>
  <c r="AL26" i="7"/>
  <c r="AM26" i="7"/>
  <c r="AL27" i="7"/>
  <c r="AM27" i="7"/>
  <c r="AL28" i="7"/>
  <c r="AM28" i="7"/>
  <c r="AL29" i="7"/>
  <c r="AM29" i="7"/>
  <c r="AL30" i="7"/>
  <c r="AM30" i="7"/>
  <c r="AL31" i="7"/>
  <c r="AM31" i="7"/>
  <c r="AL32" i="7"/>
  <c r="AM32" i="7"/>
  <c r="AL33" i="7"/>
  <c r="AM33" i="7"/>
  <c r="AL34" i="7"/>
  <c r="AM34" i="7"/>
  <c r="AL35" i="7"/>
  <c r="AM35" i="7"/>
  <c r="AL36" i="7"/>
  <c r="AM36" i="7"/>
  <c r="AL37" i="7"/>
  <c r="AM37" i="7"/>
  <c r="AL38" i="7"/>
  <c r="AM38" i="7"/>
  <c r="AL39" i="7"/>
  <c r="AM39" i="7"/>
  <c r="AL40" i="7"/>
  <c r="AM40" i="7"/>
  <c r="AL41" i="7"/>
  <c r="AM41" i="7"/>
  <c r="AL42" i="7"/>
  <c r="AM42" i="7"/>
  <c r="AL43" i="7"/>
  <c r="AM43" i="7"/>
  <c r="AL44" i="7"/>
  <c r="AM44" i="7"/>
  <c r="AL45" i="7"/>
  <c r="AM45" i="7"/>
  <c r="AL46" i="7"/>
  <c r="AM46" i="7"/>
  <c r="AL47" i="7"/>
  <c r="AM47" i="7"/>
  <c r="AL48" i="7"/>
  <c r="AM48" i="7"/>
  <c r="AL49" i="7"/>
  <c r="AM49" i="7"/>
  <c r="AL50" i="7"/>
  <c r="AM50" i="7"/>
  <c r="AL51" i="7"/>
  <c r="AM51" i="7"/>
  <c r="AL52" i="7"/>
  <c r="AM52" i="7"/>
  <c r="AL53" i="7"/>
  <c r="AM53" i="7"/>
  <c r="AL54" i="7"/>
  <c r="AM54" i="7"/>
  <c r="AL55" i="7"/>
  <c r="AM55" i="7"/>
  <c r="AL56" i="7"/>
  <c r="AM56" i="7"/>
  <c r="AL57" i="7"/>
  <c r="AM57" i="7"/>
  <c r="AL58" i="7"/>
  <c r="AM58" i="7"/>
  <c r="AL59" i="7"/>
  <c r="AM59" i="7"/>
  <c r="AL60" i="7"/>
  <c r="AM60" i="7"/>
  <c r="AL61" i="7"/>
  <c r="AM61" i="7"/>
  <c r="AL62" i="7"/>
  <c r="AM62" i="7"/>
  <c r="AL63" i="7"/>
  <c r="AM63" i="7"/>
  <c r="AL64" i="7"/>
  <c r="AM64" i="7"/>
  <c r="AL65" i="7"/>
  <c r="AM65" i="7"/>
  <c r="AL66" i="7"/>
  <c r="AM66" i="7"/>
  <c r="AL67" i="7"/>
  <c r="AM67" i="7"/>
  <c r="AL68" i="7"/>
  <c r="AM68" i="7"/>
  <c r="AL69" i="7"/>
  <c r="AM69" i="7"/>
  <c r="AL70" i="7"/>
  <c r="AM70" i="7"/>
  <c r="AL71" i="7"/>
  <c r="AM71" i="7"/>
  <c r="AL72" i="7"/>
  <c r="AM72" i="7"/>
  <c r="AL73" i="7"/>
  <c r="AM73" i="7"/>
  <c r="AL74" i="7"/>
  <c r="AM74" i="7"/>
  <c r="AL75" i="7"/>
  <c r="AM75" i="7"/>
  <c r="AL76" i="7"/>
  <c r="AM76" i="7"/>
  <c r="AL77" i="7"/>
  <c r="AM77" i="7"/>
  <c r="AL78" i="7"/>
  <c r="AM78" i="7"/>
  <c r="AL79" i="7"/>
  <c r="AM79" i="7"/>
  <c r="AL80" i="7"/>
  <c r="AM80" i="7"/>
  <c r="AL81" i="7"/>
  <c r="AM81" i="7"/>
  <c r="AL82" i="7"/>
  <c r="AM82" i="7"/>
  <c r="AL83" i="7"/>
  <c r="AM83" i="7"/>
  <c r="AL84" i="7"/>
  <c r="AM84" i="7"/>
  <c r="AL85" i="7"/>
  <c r="AM85" i="7"/>
  <c r="AL86" i="7"/>
  <c r="AM86" i="7"/>
  <c r="AL87" i="7"/>
  <c r="AM87" i="7"/>
  <c r="AL88" i="7"/>
  <c r="AM88" i="7"/>
  <c r="AL89" i="7"/>
  <c r="AM89" i="7"/>
  <c r="AL90" i="7"/>
  <c r="AM90" i="7"/>
  <c r="AL91" i="7"/>
  <c r="AM91" i="7"/>
  <c r="AL92" i="7"/>
  <c r="AM92" i="7"/>
  <c r="AL93" i="7"/>
  <c r="AM93" i="7"/>
  <c r="AL94" i="7"/>
  <c r="AM94" i="7"/>
  <c r="AL95" i="7"/>
  <c r="AM95" i="7"/>
  <c r="AL96" i="7"/>
  <c r="AM96" i="7"/>
  <c r="AL97" i="7"/>
  <c r="AM97" i="7"/>
  <c r="AL98" i="7"/>
  <c r="AM98" i="7"/>
  <c r="AL99" i="7"/>
  <c r="AM99" i="7"/>
  <c r="AL100" i="7"/>
  <c r="AM100" i="7"/>
  <c r="AL101" i="7"/>
  <c r="AM101" i="7"/>
  <c r="AL102" i="7"/>
  <c r="AM102" i="7"/>
  <c r="AL103" i="7"/>
  <c r="AM103" i="7"/>
  <c r="AL104" i="7"/>
  <c r="AM104" i="7"/>
  <c r="AL105" i="7"/>
  <c r="AM105" i="7"/>
  <c r="AL106" i="7"/>
  <c r="AM106" i="7"/>
  <c r="AL107" i="7"/>
  <c r="AM107" i="7"/>
  <c r="AL108" i="7"/>
  <c r="AM108" i="7"/>
  <c r="AL109" i="7"/>
  <c r="AM109" i="7"/>
  <c r="AL110" i="7"/>
  <c r="AM110" i="7"/>
  <c r="AL111" i="7"/>
  <c r="AM111" i="7"/>
  <c r="AM6" i="7"/>
  <c r="AL6" i="7"/>
  <c r="Q4" i="9"/>
  <c r="K2" i="9"/>
  <c r="K2" i="10"/>
  <c r="K2" i="11" s="1"/>
  <c r="G3" i="9"/>
  <c r="G3" i="10"/>
  <c r="G3" i="11"/>
  <c r="F3" i="9"/>
  <c r="F3" i="10"/>
  <c r="F3" i="11" s="1"/>
  <c r="E3" i="9"/>
  <c r="E3" i="10"/>
  <c r="E3" i="11" s="1"/>
  <c r="J3" i="8"/>
  <c r="J3" i="9"/>
  <c r="J3" i="10" s="1"/>
  <c r="J3" i="11" s="1"/>
  <c r="I3" i="8"/>
  <c r="I3" i="9" s="1"/>
  <c r="I3" i="10" s="1"/>
  <c r="I3" i="11" s="1"/>
  <c r="H3" i="8"/>
  <c r="H3" i="9"/>
  <c r="H3" i="10" s="1"/>
  <c r="H3" i="11" s="1"/>
  <c r="N4" i="9"/>
  <c r="N4" i="10"/>
  <c r="L4" i="9"/>
  <c r="L4" i="10"/>
  <c r="AF5" i="7"/>
  <c r="AE5" i="7"/>
  <c r="AD5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6" i="7"/>
  <c r="AI6" i="7"/>
  <c r="L4" i="8"/>
  <c r="J4" i="8"/>
  <c r="I4" i="8"/>
  <c r="H4" i="8"/>
  <c r="G4" i="8"/>
  <c r="F4" i="8"/>
  <c r="J4" i="9"/>
  <c r="I4" i="9"/>
  <c r="H4" i="9"/>
  <c r="G4" i="9"/>
  <c r="F4" i="9"/>
  <c r="J4" i="10"/>
  <c r="I4" i="10"/>
  <c r="H4" i="10"/>
  <c r="G4" i="10"/>
  <c r="F4" i="10"/>
  <c r="J4" i="11"/>
  <c r="I4" i="11"/>
  <c r="H4" i="11"/>
  <c r="G4" i="11"/>
  <c r="F4" i="11"/>
  <c r="E4" i="11"/>
  <c r="E4" i="10"/>
  <c r="E4" i="9"/>
  <c r="E4" i="8"/>
  <c r="O4" i="11"/>
  <c r="N4" i="11"/>
  <c r="B27" i="5"/>
  <c r="A27" i="5"/>
  <c r="K4" i="9"/>
  <c r="K4" i="10"/>
  <c r="O4" i="8"/>
  <c r="N4" i="8"/>
  <c r="K4" i="11"/>
  <c r="S4" i="8"/>
  <c r="U4" i="10"/>
  <c r="T4" i="10"/>
  <c r="S4" i="10"/>
  <c r="R4" i="10"/>
  <c r="Q4" i="10"/>
  <c r="Q4" i="8"/>
  <c r="P4" i="8"/>
  <c r="U4" i="8"/>
  <c r="T4" i="8"/>
  <c r="M4" i="8"/>
  <c r="B21" i="5"/>
  <c r="A21" i="5"/>
  <c r="B28" i="5"/>
  <c r="A28" i="5"/>
  <c r="B5" i="5"/>
  <c r="A5" i="5"/>
  <c r="H9" i="8"/>
  <c r="B20" i="5"/>
  <c r="A20" i="5"/>
  <c r="T10" i="9"/>
  <c r="B26" i="5"/>
  <c r="A26" i="5"/>
  <c r="U4" i="11"/>
  <c r="B9" i="5"/>
  <c r="A9" i="5"/>
  <c r="B31" i="5"/>
  <c r="A31" i="5"/>
  <c r="N7" i="11"/>
  <c r="B29" i="5"/>
  <c r="A29" i="5"/>
  <c r="P4" i="10"/>
  <c r="B12" i="5"/>
  <c r="A12" i="5"/>
  <c r="O6" i="10"/>
  <c r="B8" i="5"/>
  <c r="A8" i="5"/>
  <c r="R8" i="8"/>
  <c r="B14" i="5"/>
  <c r="A14" i="5"/>
  <c r="B19" i="5"/>
  <c r="A19" i="5"/>
  <c r="B30" i="5"/>
  <c r="A30" i="5"/>
  <c r="B22" i="5"/>
  <c r="A22" i="5"/>
  <c r="B13" i="5"/>
  <c r="A13" i="5"/>
  <c r="B18" i="5"/>
  <c r="A18" i="5"/>
  <c r="B23" i="5"/>
  <c r="A23" i="5"/>
  <c r="P4" i="9"/>
  <c r="K4" i="8"/>
  <c r="B24" i="5"/>
  <c r="A24" i="5"/>
  <c r="B15" i="5"/>
  <c r="A15" i="5"/>
  <c r="R4" i="9"/>
  <c r="S4" i="9"/>
  <c r="T4" i="9"/>
  <c r="B6" i="5"/>
  <c r="A6" i="5"/>
  <c r="C6" i="8"/>
  <c r="J5" i="8"/>
  <c r="I8" i="8"/>
  <c r="R9" i="8"/>
  <c r="G9" i="8"/>
  <c r="S7" i="8"/>
  <c r="P8" i="8"/>
  <c r="T5" i="8"/>
  <c r="N8" i="8"/>
  <c r="Q7" i="8"/>
  <c r="J6" i="8"/>
  <c r="S8" i="8"/>
  <c r="P7" i="8"/>
  <c r="O9" i="11"/>
  <c r="F10" i="11"/>
  <c r="G9" i="11"/>
  <c r="M9" i="11"/>
  <c r="P8" i="11"/>
  <c r="I5" i="11"/>
  <c r="H8" i="11"/>
  <c r="H9" i="11"/>
  <c r="C5" i="11"/>
  <c r="P7" i="11"/>
  <c r="J6" i="11"/>
  <c r="U9" i="11"/>
  <c r="G8" i="11"/>
  <c r="M9" i="10"/>
  <c r="I5" i="10"/>
  <c r="C5" i="10"/>
  <c r="U8" i="10"/>
  <c r="M7" i="10"/>
  <c r="K8" i="10"/>
  <c r="S5" i="10"/>
  <c r="G8" i="10"/>
  <c r="G9" i="10"/>
  <c r="R9" i="10"/>
  <c r="C9" i="10"/>
  <c r="H5" i="10"/>
  <c r="R8" i="10"/>
  <c r="T6" i="10"/>
  <c r="M6" i="10"/>
  <c r="J7" i="10"/>
  <c r="I6" i="10"/>
  <c r="G7" i="10"/>
  <c r="T7" i="10"/>
  <c r="F5" i="10"/>
  <c r="K9" i="10"/>
  <c r="G5" i="10"/>
  <c r="J6" i="9"/>
  <c r="Q8" i="9"/>
  <c r="M4" i="10"/>
  <c r="H8" i="8"/>
  <c r="M5" i="8"/>
  <c r="Q5" i="9"/>
  <c r="F11" i="9"/>
  <c r="N7" i="10"/>
  <c r="I7" i="10"/>
  <c r="S6" i="10"/>
  <c r="F6" i="10"/>
  <c r="U9" i="10"/>
  <c r="F8" i="10"/>
  <c r="H9" i="10"/>
  <c r="Q7" i="10"/>
  <c r="G6" i="10"/>
  <c r="H6" i="10"/>
  <c r="F9" i="10"/>
  <c r="K7" i="8"/>
  <c r="H5" i="8"/>
  <c r="O10" i="8"/>
  <c r="R10" i="8"/>
  <c r="L5" i="8"/>
  <c r="U8" i="8"/>
  <c r="I7" i="8"/>
  <c r="T10" i="8"/>
  <c r="E5" i="8"/>
  <c r="G7" i="8"/>
  <c r="H7" i="8"/>
  <c r="G8" i="8"/>
  <c r="K8" i="8"/>
  <c r="C5" i="8"/>
  <c r="U10" i="8"/>
  <c r="G8" i="9"/>
  <c r="N11" i="9"/>
  <c r="P6" i="10"/>
  <c r="K6" i="10"/>
  <c r="Q8" i="10"/>
  <c r="I9" i="10"/>
  <c r="F7" i="10"/>
  <c r="P7" i="10"/>
  <c r="L7" i="10"/>
  <c r="T8" i="10"/>
  <c r="J8" i="10"/>
  <c r="M5" i="10"/>
  <c r="U5" i="10"/>
  <c r="N10" i="8"/>
  <c r="F5" i="8"/>
  <c r="K5" i="8"/>
  <c r="J8" i="8"/>
  <c r="L9" i="8"/>
  <c r="F9" i="8"/>
  <c r="S10" i="8"/>
  <c r="H10" i="8"/>
  <c r="P9" i="8"/>
  <c r="P10" i="8"/>
  <c r="M7" i="8"/>
  <c r="L7" i="8"/>
  <c r="C9" i="8"/>
  <c r="E7" i="8"/>
  <c r="T8" i="8"/>
  <c r="J7" i="8"/>
  <c r="F7" i="9"/>
  <c r="L8" i="10"/>
  <c r="J5" i="10"/>
  <c r="E6" i="10"/>
  <c r="T9" i="10"/>
  <c r="M8" i="10"/>
  <c r="P8" i="10"/>
  <c r="R5" i="10"/>
  <c r="E7" i="10"/>
  <c r="K5" i="10"/>
  <c r="E9" i="10"/>
  <c r="K7" i="10"/>
  <c r="S7" i="10"/>
  <c r="G6" i="8"/>
  <c r="I10" i="8"/>
  <c r="Q5" i="8"/>
  <c r="N5" i="8"/>
  <c r="J9" i="8"/>
  <c r="I9" i="8"/>
  <c r="L6" i="8"/>
  <c r="M6" i="8"/>
  <c r="T6" i="8"/>
  <c r="C7" i="8"/>
  <c r="M8" i="8"/>
  <c r="N6" i="8"/>
  <c r="P6" i="8"/>
  <c r="S6" i="8"/>
  <c r="G10" i="8"/>
  <c r="K6" i="8"/>
  <c r="M10" i="8"/>
  <c r="C7" i="9"/>
  <c r="E10" i="9"/>
  <c r="J6" i="10"/>
  <c r="R6" i="10"/>
  <c r="O5" i="10"/>
  <c r="E5" i="10"/>
  <c r="O7" i="10"/>
  <c r="I8" i="10"/>
  <c r="U6" i="10"/>
  <c r="P5" i="10"/>
  <c r="N9" i="10"/>
  <c r="O8" i="10"/>
  <c r="J9" i="10"/>
  <c r="Q9" i="10"/>
  <c r="K10" i="8"/>
  <c r="C8" i="8"/>
  <c r="O6" i="8"/>
  <c r="E10" i="8"/>
  <c r="U9" i="8"/>
  <c r="E6" i="8"/>
  <c r="N7" i="8"/>
  <c r="O5" i="8"/>
  <c r="E8" i="8"/>
  <c r="F6" i="8"/>
  <c r="H6" i="8"/>
  <c r="R6" i="8"/>
  <c r="L10" i="8"/>
  <c r="Q8" i="8"/>
  <c r="L6" i="9"/>
  <c r="Q10" i="8"/>
  <c r="Q9" i="8"/>
  <c r="S9" i="9"/>
  <c r="F5" i="9"/>
  <c r="L5" i="10"/>
  <c r="U7" i="10"/>
  <c r="C6" i="10"/>
  <c r="Q6" i="10"/>
  <c r="H7" i="10"/>
  <c r="C7" i="10"/>
  <c r="S8" i="10"/>
  <c r="L9" i="10"/>
  <c r="O9" i="10"/>
  <c r="T5" i="10"/>
  <c r="C8" i="10"/>
  <c r="O7" i="8"/>
  <c r="R5" i="8"/>
  <c r="I6" i="8"/>
  <c r="L8" i="8"/>
  <c r="F7" i="8"/>
  <c r="G5" i="8"/>
  <c r="P5" i="8"/>
  <c r="J10" i="8"/>
  <c r="I5" i="8"/>
  <c r="Q6" i="8"/>
  <c r="C10" i="8"/>
  <c r="U7" i="8"/>
  <c r="F10" i="8"/>
  <c r="T9" i="8"/>
  <c r="P6" i="9"/>
  <c r="R7" i="8"/>
  <c r="O11" i="9"/>
  <c r="Q7" i="9"/>
  <c r="N5" i="10"/>
  <c r="S9" i="10"/>
  <c r="E8" i="10"/>
  <c r="H8" i="10"/>
  <c r="Q5" i="10"/>
  <c r="N6" i="10"/>
  <c r="L6" i="10"/>
  <c r="N8" i="10"/>
  <c r="P9" i="10"/>
  <c r="R7" i="10"/>
  <c r="O8" i="8"/>
  <c r="U6" i="8"/>
  <c r="F8" i="8"/>
  <c r="S5" i="8"/>
  <c r="N9" i="8"/>
  <c r="K9" i="8"/>
  <c r="E9" i="8"/>
  <c r="U5" i="8"/>
  <c r="M9" i="8"/>
  <c r="T7" i="8"/>
  <c r="O9" i="8"/>
  <c r="S9" i="8"/>
  <c r="G10" i="9"/>
  <c r="Q11" i="9"/>
  <c r="L7" i="9"/>
  <c r="T9" i="9"/>
  <c r="C5" i="9"/>
  <c r="T6" i="9"/>
  <c r="P9" i="9"/>
  <c r="I5" i="9"/>
  <c r="H5" i="9"/>
  <c r="I10" i="9"/>
  <c r="T8" i="9"/>
  <c r="E11" i="9"/>
  <c r="L10" i="9"/>
  <c r="N9" i="9"/>
  <c r="M8" i="9"/>
  <c r="K5" i="11"/>
  <c r="F6" i="11"/>
  <c r="G6" i="11"/>
  <c r="F5" i="11"/>
  <c r="O10" i="11"/>
  <c r="T9" i="11"/>
  <c r="L5" i="11"/>
  <c r="C6" i="11"/>
  <c r="K6" i="11"/>
  <c r="S6" i="11"/>
  <c r="J7" i="11"/>
  <c r="Q8" i="11"/>
  <c r="I8" i="11"/>
  <c r="K6" i="9"/>
  <c r="L8" i="9"/>
  <c r="P10" i="9"/>
  <c r="G5" i="9"/>
  <c r="R11" i="9"/>
  <c r="K8" i="9"/>
  <c r="R8" i="9"/>
  <c r="F10" i="9"/>
  <c r="M9" i="9"/>
  <c r="T7" i="9"/>
  <c r="N6" i="9"/>
  <c r="R10" i="9"/>
  <c r="I9" i="9"/>
  <c r="T5" i="9"/>
  <c r="I7" i="9"/>
  <c r="G7" i="9"/>
  <c r="K10" i="11"/>
  <c r="N10" i="11"/>
  <c r="E8" i="11"/>
  <c r="G10" i="11"/>
  <c r="I10" i="11"/>
  <c r="J8" i="11"/>
  <c r="N5" i="11"/>
  <c r="P5" i="11"/>
  <c r="E6" i="11"/>
  <c r="M8" i="11"/>
  <c r="M6" i="11"/>
  <c r="E5" i="11"/>
  <c r="C7" i="11"/>
  <c r="M5" i="11"/>
  <c r="I6" i="9"/>
  <c r="P5" i="9"/>
  <c r="R9" i="9"/>
  <c r="K9" i="9"/>
  <c r="E5" i="9"/>
  <c r="O5" i="9"/>
  <c r="U9" i="9"/>
  <c r="K7" i="9"/>
  <c r="R5" i="9"/>
  <c r="L5" i="9"/>
  <c r="J7" i="9"/>
  <c r="U11" i="9"/>
  <c r="N5" i="9"/>
  <c r="R7" i="9"/>
  <c r="M11" i="9"/>
  <c r="K11" i="9"/>
  <c r="H5" i="11"/>
  <c r="P9" i="11"/>
  <c r="J9" i="11"/>
  <c r="K7" i="11"/>
  <c r="M7" i="11"/>
  <c r="S5" i="11"/>
  <c r="O6" i="11"/>
  <c r="I9" i="11"/>
  <c r="L9" i="11"/>
  <c r="H10" i="11"/>
  <c r="G5" i="11"/>
  <c r="P10" i="11"/>
  <c r="O5" i="11"/>
  <c r="R6" i="11"/>
  <c r="H7" i="9"/>
  <c r="S11" i="9"/>
  <c r="O10" i="9"/>
  <c r="U6" i="9"/>
  <c r="O8" i="9"/>
  <c r="N7" i="9"/>
  <c r="M6" i="9"/>
  <c r="H11" i="9"/>
  <c r="U8" i="9"/>
  <c r="H10" i="9"/>
  <c r="U5" i="9"/>
  <c r="K8" i="11"/>
  <c r="L6" i="11"/>
  <c r="E7" i="11"/>
  <c r="R5" i="11"/>
  <c r="G7" i="11"/>
  <c r="Q7" i="11"/>
  <c r="C8" i="11"/>
  <c r="T5" i="11"/>
  <c r="L8" i="11"/>
  <c r="U5" i="11"/>
  <c r="K9" i="11"/>
  <c r="Q6" i="11"/>
  <c r="J10" i="11"/>
  <c r="U7" i="11"/>
  <c r="G6" i="9"/>
  <c r="P8" i="9"/>
  <c r="K10" i="9"/>
  <c r="O6" i="9"/>
  <c r="H8" i="9"/>
  <c r="J9" i="9"/>
  <c r="S8" i="9"/>
  <c r="K5" i="9"/>
  <c r="H6" i="9"/>
  <c r="Q6" i="9"/>
  <c r="E7" i="9"/>
  <c r="S10" i="9"/>
  <c r="E6" i="9"/>
  <c r="S7" i="9"/>
  <c r="N6" i="11"/>
  <c r="Q5" i="11"/>
  <c r="P6" i="11"/>
  <c r="U6" i="11"/>
  <c r="F7" i="11"/>
  <c r="T8" i="11"/>
  <c r="O7" i="11"/>
  <c r="R7" i="11"/>
  <c r="F8" i="11"/>
  <c r="S7" i="11"/>
  <c r="N8" i="11"/>
  <c r="T7" i="11"/>
  <c r="E9" i="11"/>
  <c r="S9" i="11"/>
  <c r="L9" i="9"/>
  <c r="O7" i="9"/>
  <c r="F8" i="9"/>
  <c r="P7" i="9"/>
  <c r="M5" i="9"/>
  <c r="R6" i="9"/>
  <c r="G9" i="9"/>
  <c r="N8" i="9"/>
  <c r="L11" i="9"/>
  <c r="J11" i="9"/>
  <c r="C9" i="9"/>
  <c r="F6" i="9"/>
  <c r="Q10" i="9"/>
  <c r="N10" i="9"/>
  <c r="C10" i="9"/>
  <c r="I8" i="9"/>
  <c r="H9" i="9"/>
  <c r="J5" i="9"/>
  <c r="P11" i="9"/>
  <c r="Q9" i="9"/>
  <c r="H6" i="11"/>
  <c r="T6" i="11"/>
  <c r="L10" i="11"/>
  <c r="S8" i="11"/>
  <c r="F9" i="11"/>
  <c r="R10" i="11"/>
  <c r="C9" i="11"/>
  <c r="U8" i="11"/>
  <c r="J5" i="11"/>
  <c r="Q9" i="11"/>
  <c r="I6" i="11"/>
  <c r="R9" i="11"/>
  <c r="H7" i="11"/>
  <c r="S4" i="11"/>
  <c r="M4" i="11"/>
  <c r="R4" i="11"/>
  <c r="Q4" i="11"/>
  <c r="P4" i="11"/>
  <c r="M10" i="9"/>
  <c r="J10" i="9"/>
  <c r="C11" i="9"/>
  <c r="G11" i="9"/>
  <c r="U7" i="9"/>
  <c r="C6" i="9"/>
  <c r="S6" i="9"/>
  <c r="O9" i="9"/>
  <c r="E9" i="9"/>
  <c r="U10" i="9"/>
  <c r="I11" i="9"/>
  <c r="T11" i="9"/>
  <c r="J8" i="9"/>
  <c r="S5" i="9"/>
  <c r="F9" i="9"/>
  <c r="E8" i="9"/>
  <c r="C8" i="9"/>
  <c r="M7" i="9"/>
  <c r="C10" i="11"/>
  <c r="R8" i="11"/>
  <c r="O8" i="11"/>
  <c r="Q10" i="11"/>
  <c r="I7" i="11"/>
  <c r="L7" i="11"/>
  <c r="N9" i="11"/>
  <c r="S10" i="11"/>
  <c r="E10" i="11"/>
  <c r="T10" i="11"/>
  <c r="M10" i="11"/>
  <c r="U10" i="11"/>
  <c r="T4" i="11"/>
  <c r="AK14" i="7" l="1"/>
  <c r="AI14" i="7"/>
  <c r="AK30" i="7"/>
  <c r="AI30" i="7"/>
  <c r="AK46" i="7"/>
  <c r="AI46" i="7"/>
  <c r="AK94" i="7"/>
  <c r="AI94" i="7"/>
  <c r="AK62" i="7"/>
  <c r="AI62" i="7"/>
  <c r="AK86" i="7"/>
  <c r="AI86" i="7"/>
  <c r="AK38" i="7"/>
  <c r="AI38" i="7"/>
  <c r="AK110" i="7"/>
  <c r="AI110" i="7"/>
  <c r="AI11" i="7"/>
  <c r="AK78" i="7"/>
  <c r="AI78" i="7"/>
  <c r="AK22" i="7"/>
  <c r="AI22" i="7"/>
  <c r="AK54" i="7"/>
  <c r="AI54" i="7"/>
  <c r="AK70" i="7"/>
  <c r="AI70" i="7"/>
  <c r="AK102" i="7"/>
  <c r="AI102" i="7"/>
  <c r="AK13" i="7"/>
  <c r="AK21" i="7"/>
  <c r="AK29" i="7"/>
  <c r="AI35" i="7"/>
  <c r="AK37" i="7"/>
  <c r="AI43" i="7"/>
  <c r="AK45" i="7"/>
  <c r="AI51" i="7"/>
  <c r="AK53" i="7"/>
  <c r="AI59" i="7"/>
  <c r="AK61" i="7"/>
  <c r="AI67" i="7"/>
  <c r="AK69" i="7"/>
  <c r="AI75" i="7"/>
  <c r="AK77" i="7"/>
  <c r="AI83" i="7"/>
  <c r="AK85" i="7"/>
  <c r="AI91" i="7"/>
  <c r="AI99" i="7"/>
  <c r="AI107" i="7"/>
  <c r="AI33" i="7"/>
  <c r="AI57" i="7"/>
  <c r="AI65" i="7"/>
  <c r="AI97" i="7"/>
  <c r="AI105" i="7"/>
  <c r="AI20" i="7"/>
  <c r="AI28" i="7"/>
  <c r="AI36" i="7"/>
  <c r="AI44" i="7"/>
  <c r="AI52" i="7"/>
  <c r="AI60" i="7"/>
  <c r="AI68" i="7"/>
  <c r="AI76" i="7"/>
  <c r="AI84" i="7"/>
  <c r="AI92" i="7"/>
  <c r="AI100" i="7"/>
  <c r="AI108" i="7"/>
  <c r="AI7" i="7"/>
  <c r="AI15" i="7"/>
  <c r="AI23" i="7"/>
  <c r="AI31" i="7"/>
  <c r="AI111" i="7"/>
  <c r="A64" i="7" l="1"/>
  <c r="A72" i="7"/>
  <c r="A57" i="7"/>
  <c r="A65" i="7"/>
  <c r="A73" i="7"/>
  <c r="A58" i="7"/>
  <c r="A66" i="7"/>
  <c r="A74" i="7"/>
  <c r="A59" i="7"/>
  <c r="A67" i="7"/>
  <c r="A75" i="7"/>
  <c r="A78" i="7"/>
  <c r="A60" i="7"/>
  <c r="A68" i="7"/>
  <c r="A76" i="7"/>
  <c r="A70" i="7"/>
  <c r="A61" i="7"/>
  <c r="A69" i="7"/>
  <c r="A77" i="7"/>
  <c r="A62" i="7"/>
  <c r="A63" i="7"/>
  <c r="A71" i="7"/>
  <c r="A79" i="7"/>
  <c r="A90" i="7"/>
  <c r="A99" i="7"/>
  <c r="A107" i="7"/>
  <c r="A82" i="7"/>
  <c r="A91" i="7"/>
  <c r="A100" i="7"/>
  <c r="A108" i="7"/>
  <c r="A83" i="7"/>
  <c r="A92" i="7"/>
  <c r="A101" i="7"/>
  <c r="A110" i="7"/>
  <c r="A84" i="7"/>
  <c r="A93" i="7"/>
  <c r="A102" i="7"/>
  <c r="A111" i="7"/>
  <c r="A85" i="7"/>
  <c r="A94" i="7"/>
  <c r="A103" i="7"/>
  <c r="A97" i="7"/>
  <c r="A86" i="7"/>
  <c r="A95" i="7"/>
  <c r="A104" i="7"/>
  <c r="A106" i="7"/>
  <c r="A87" i="7"/>
  <c r="A96" i="7"/>
  <c r="A105" i="7"/>
  <c r="A89" i="7"/>
  <c r="A56" i="7"/>
  <c r="A25" i="7"/>
  <c r="A80" i="7"/>
  <c r="A6" i="7"/>
  <c r="E18" i="8"/>
  <c r="H15" i="8"/>
  <c r="L14" i="8"/>
  <c r="M14" i="8"/>
  <c r="E17" i="8"/>
  <c r="K28" i="8"/>
  <c r="C23" i="8"/>
  <c r="M20" i="8"/>
  <c r="N13" i="8"/>
  <c r="L27" i="8"/>
  <c r="E28" i="8"/>
  <c r="I19" i="8"/>
  <c r="O15" i="8"/>
  <c r="L21" i="8"/>
  <c r="J20" i="8"/>
  <c r="N14" i="8"/>
  <c r="E21" i="8"/>
  <c r="L28" i="8"/>
  <c r="E12" i="8"/>
  <c r="J15" i="8"/>
  <c r="N28" i="8"/>
  <c r="M23" i="8"/>
  <c r="C20" i="8"/>
  <c r="C13" i="8"/>
  <c r="F24" i="8"/>
  <c r="I18" i="8"/>
  <c r="E16" i="8"/>
  <c r="M26" i="8"/>
  <c r="I12" i="8"/>
  <c r="F29" i="8"/>
  <c r="O27" i="8"/>
  <c r="O26" i="8"/>
  <c r="H14" i="8"/>
  <c r="M15" i="8"/>
  <c r="G17" i="8"/>
  <c r="H27" i="8"/>
  <c r="M13" i="8"/>
  <c r="O21" i="8"/>
  <c r="G27" i="8"/>
  <c r="E26" i="8"/>
  <c r="L13" i="8"/>
  <c r="F23" i="8"/>
  <c r="N16" i="8"/>
  <c r="F13" i="8"/>
  <c r="K11" i="8"/>
  <c r="H18" i="8"/>
  <c r="F20" i="8"/>
  <c r="L11" i="8"/>
  <c r="O13" i="8"/>
  <c r="G29" i="8"/>
  <c r="H20" i="8"/>
  <c r="I17" i="8"/>
  <c r="E11" i="8"/>
  <c r="N24" i="8"/>
  <c r="I28" i="8"/>
  <c r="L24" i="8"/>
  <c r="F12" i="8"/>
  <c r="I22" i="8"/>
  <c r="K13" i="8"/>
  <c r="E20" i="8"/>
  <c r="O24" i="8"/>
  <c r="E23" i="8"/>
  <c r="J18" i="8"/>
  <c r="F17" i="8"/>
  <c r="G25" i="8"/>
  <c r="N19" i="8"/>
  <c r="I29" i="8"/>
  <c r="K19" i="8"/>
  <c r="H29" i="8"/>
  <c r="N21" i="8"/>
  <c r="G21" i="8"/>
  <c r="H25" i="8"/>
  <c r="J19" i="8"/>
  <c r="L19" i="8"/>
  <c r="C21" i="8"/>
  <c r="J22" i="8"/>
  <c r="C15" i="8"/>
  <c r="L29" i="8"/>
  <c r="N29" i="8"/>
  <c r="F15" i="8"/>
  <c r="K15" i="8"/>
  <c r="C11" i="8"/>
  <c r="I25" i="8"/>
  <c r="I20" i="8"/>
  <c r="J27" i="8"/>
  <c r="G11" i="8"/>
  <c r="K21" i="8"/>
  <c r="J13" i="8"/>
  <c r="L17" i="8"/>
  <c r="N26" i="8"/>
  <c r="G19" i="8"/>
  <c r="G15" i="8"/>
  <c r="H19" i="8"/>
  <c r="E14" i="8"/>
  <c r="H13" i="8"/>
  <c r="C25" i="8"/>
  <c r="G12" i="8"/>
  <c r="H24" i="8"/>
  <c r="L23" i="8"/>
  <c r="L18" i="8"/>
  <c r="K12" i="8"/>
  <c r="J25" i="8"/>
  <c r="J23" i="8"/>
  <c r="G18" i="8"/>
  <c r="C29" i="8"/>
  <c r="K17" i="8"/>
  <c r="C22" i="8"/>
  <c r="C18" i="8"/>
  <c r="M29" i="8"/>
  <c r="N12" i="8"/>
  <c r="M18" i="8"/>
  <c r="C28" i="8"/>
  <c r="M11" i="8"/>
  <c r="N20" i="8"/>
  <c r="O28" i="8"/>
  <c r="O20" i="8"/>
  <c r="O19" i="8"/>
  <c r="K27" i="8"/>
  <c r="H21" i="8"/>
  <c r="H23" i="8"/>
  <c r="F16" i="8"/>
  <c r="C12" i="8"/>
  <c r="C26" i="8"/>
  <c r="J14" i="8"/>
  <c r="G28" i="8"/>
  <c r="M19" i="8"/>
  <c r="O11" i="8"/>
  <c r="N15" i="8"/>
  <c r="H28" i="8"/>
  <c r="I24" i="8"/>
  <c r="C19" i="8"/>
  <c r="E24" i="8"/>
  <c r="F28" i="8"/>
  <c r="M12" i="8"/>
  <c r="G16" i="8"/>
  <c r="K29" i="8"/>
  <c r="G23" i="8"/>
  <c r="J11" i="8"/>
  <c r="K14" i="8"/>
  <c r="E22" i="8"/>
  <c r="L12" i="8"/>
  <c r="E13" i="8"/>
  <c r="F26" i="8"/>
  <c r="H16" i="8"/>
  <c r="M21" i="8"/>
  <c r="J17" i="8"/>
  <c r="O25" i="8"/>
  <c r="F25" i="8"/>
  <c r="G14" i="8"/>
  <c r="N25" i="8"/>
  <c r="I11" i="8"/>
  <c r="J29" i="8"/>
  <c r="O23" i="8"/>
  <c r="G22" i="8"/>
  <c r="L20" i="8"/>
  <c r="H17" i="8"/>
  <c r="N11" i="8"/>
  <c r="N22" i="8"/>
  <c r="M22" i="8"/>
  <c r="C17" i="8"/>
  <c r="K20" i="8"/>
  <c r="N17" i="8"/>
  <c r="F27" i="8"/>
  <c r="L16" i="8"/>
  <c r="N18" i="8"/>
  <c r="M27" i="8"/>
  <c r="F22" i="8"/>
  <c r="G26" i="8"/>
  <c r="H11" i="8"/>
  <c r="C14" i="8"/>
  <c r="J26" i="8"/>
  <c r="K16" i="8"/>
  <c r="J24" i="8"/>
  <c r="M28" i="8"/>
  <c r="I27" i="8"/>
  <c r="L26" i="8"/>
  <c r="O14" i="8"/>
  <c r="C27" i="8"/>
  <c r="M16" i="8"/>
  <c r="G20" i="8"/>
  <c r="O22" i="8"/>
  <c r="F14" i="8"/>
  <c r="M17" i="8"/>
  <c r="I13" i="8"/>
  <c r="L25" i="8"/>
  <c r="O17" i="8"/>
  <c r="L15" i="8"/>
  <c r="I23" i="8"/>
  <c r="H26" i="8"/>
  <c r="E15" i="8"/>
  <c r="J12" i="8"/>
  <c r="E25" i="8"/>
  <c r="J16" i="8"/>
  <c r="I16" i="8"/>
  <c r="J28" i="8"/>
  <c r="O12" i="8"/>
  <c r="F18" i="8"/>
  <c r="K25" i="8"/>
  <c r="E29" i="8"/>
  <c r="G13" i="8"/>
  <c r="K24" i="8"/>
  <c r="G24" i="8"/>
  <c r="O16" i="8"/>
  <c r="N23" i="8"/>
  <c r="I15" i="8"/>
  <c r="M25" i="8"/>
  <c r="O18" i="8"/>
  <c r="K22" i="8"/>
  <c r="H22" i="8"/>
  <c r="F11" i="8"/>
  <c r="N27" i="8"/>
  <c r="E27" i="8"/>
  <c r="K26" i="8"/>
  <c r="E19" i="8"/>
  <c r="O29" i="8"/>
  <c r="I14" i="8"/>
  <c r="M24" i="8"/>
  <c r="C24" i="8"/>
  <c r="C16" i="8"/>
  <c r="L22" i="8"/>
  <c r="K18" i="8"/>
  <c r="I26" i="8"/>
  <c r="K23" i="8"/>
  <c r="I21" i="8"/>
  <c r="J21" i="8"/>
  <c r="H12" i="8"/>
  <c r="F21" i="8"/>
  <c r="F19" i="8"/>
  <c r="O28" i="9" l="1"/>
  <c r="O14" i="9"/>
  <c r="O41" i="9"/>
  <c r="I39" i="9"/>
  <c r="L17" i="9"/>
  <c r="F28" i="9"/>
  <c r="C32" i="9"/>
  <c r="I16" i="9"/>
  <c r="E13" i="9"/>
  <c r="J33" i="9"/>
  <c r="J27" i="9"/>
  <c r="H27" i="9"/>
  <c r="K18" i="9"/>
  <c r="N37" i="9"/>
  <c r="L29" i="9"/>
  <c r="F26" i="9"/>
  <c r="H31" i="9"/>
  <c r="F17" i="9"/>
  <c r="J26" i="9"/>
  <c r="G38" i="9"/>
  <c r="L23" i="9"/>
  <c r="F24" i="9"/>
  <c r="M13" i="9"/>
  <c r="E23" i="9"/>
  <c r="K33" i="9"/>
  <c r="G24" i="9"/>
  <c r="M22" i="9"/>
  <c r="G36" i="9"/>
  <c r="F30" i="9"/>
  <c r="H29" i="9"/>
  <c r="C36" i="9"/>
  <c r="G19" i="9"/>
  <c r="F15" i="9"/>
  <c r="E35" i="9"/>
  <c r="G30" i="9"/>
  <c r="K24" i="9"/>
  <c r="L38" i="9"/>
  <c r="G22" i="9"/>
  <c r="M17" i="9"/>
  <c r="G29" i="9"/>
  <c r="C41" i="9"/>
  <c r="O23" i="9"/>
  <c r="J17" i="9"/>
  <c r="O31" i="9"/>
  <c r="O17" i="9"/>
  <c r="N29" i="9"/>
  <c r="O25" i="9"/>
  <c r="E34" i="9"/>
  <c r="C13" i="9"/>
  <c r="F20" i="9"/>
  <c r="C28" i="9"/>
  <c r="K20" i="9"/>
  <c r="E25" i="9"/>
  <c r="M38" i="9"/>
  <c r="C17" i="9"/>
  <c r="J19" i="9"/>
  <c r="L22" i="9"/>
  <c r="F29" i="9"/>
  <c r="G40" i="9"/>
  <c r="H42" i="9"/>
  <c r="F18" i="9"/>
  <c r="L26" i="9"/>
  <c r="H36" i="9"/>
  <c r="K39" i="9"/>
  <c r="F38" i="9"/>
  <c r="L19" i="9"/>
  <c r="F16" i="9"/>
  <c r="C30" i="9"/>
  <c r="F31" i="9"/>
  <c r="O19" i="9"/>
  <c r="L27" i="9"/>
  <c r="G16" i="9"/>
  <c r="I17" i="9"/>
  <c r="F36" i="9"/>
  <c r="H14" i="9"/>
  <c r="F22" i="9"/>
  <c r="L24" i="9"/>
  <c r="J35" i="9"/>
  <c r="L32" i="9"/>
  <c r="L16" i="9"/>
  <c r="J29" i="9"/>
  <c r="K38" i="9"/>
  <c r="M25" i="9"/>
  <c r="J21" i="9"/>
  <c r="L31" i="9"/>
  <c r="G23" i="9"/>
  <c r="M35" i="9"/>
  <c r="I13" i="9"/>
  <c r="N17" i="9"/>
  <c r="O26" i="9"/>
  <c r="O20" i="9"/>
  <c r="O39" i="9"/>
  <c r="O34" i="9"/>
  <c r="G37" i="9"/>
  <c r="C37" i="9"/>
  <c r="F12" i="9"/>
  <c r="C40" i="9"/>
  <c r="L34" i="9"/>
  <c r="I33" i="9"/>
  <c r="J40" i="9"/>
  <c r="C18" i="9"/>
  <c r="J42" i="9"/>
  <c r="F40" i="9"/>
  <c r="L35" i="9"/>
  <c r="F39" i="9"/>
  <c r="C22" i="9"/>
  <c r="E17" i="9"/>
  <c r="J39" i="9"/>
  <c r="E42" i="9"/>
  <c r="L15" i="9"/>
  <c r="F35" i="9"/>
  <c r="L20" i="9"/>
  <c r="G13" i="9"/>
  <c r="K37" i="9"/>
  <c r="C23" i="9"/>
  <c r="H39" i="9"/>
  <c r="E12" i="9"/>
  <c r="M40" i="9"/>
  <c r="L39" i="9"/>
  <c r="F14" i="9"/>
  <c r="H15" i="9"/>
  <c r="K16" i="9"/>
  <c r="H26" i="9"/>
  <c r="J12" i="9"/>
  <c r="J22" i="9"/>
  <c r="M26" i="9"/>
  <c r="H20" i="9"/>
  <c r="K14" i="9"/>
  <c r="I21" i="9"/>
  <c r="L13" i="9"/>
  <c r="K26" i="9"/>
  <c r="H21" i="9"/>
  <c r="M18" i="9"/>
  <c r="L42" i="9"/>
  <c r="O32" i="9"/>
  <c r="O16" i="9"/>
  <c r="N34" i="9"/>
  <c r="O12" i="9"/>
  <c r="O15" i="9"/>
  <c r="N21" i="9"/>
  <c r="M39" i="9"/>
  <c r="I31" i="9"/>
  <c r="H23" i="9"/>
  <c r="I12" i="9"/>
  <c r="K36" i="9"/>
  <c r="H12" i="9"/>
  <c r="M30" i="9"/>
  <c r="E29" i="9"/>
  <c r="F32" i="9"/>
  <c r="K27" i="9"/>
  <c r="E30" i="9"/>
  <c r="G27" i="9"/>
  <c r="M42" i="9"/>
  <c r="M36" i="9"/>
  <c r="H33" i="9"/>
  <c r="M28" i="9"/>
  <c r="C16" i="9"/>
  <c r="I20" i="9"/>
  <c r="J37" i="9"/>
  <c r="C19" i="9"/>
  <c r="J31" i="9"/>
  <c r="H25" i="9"/>
  <c r="I35" i="9"/>
  <c r="K31" i="9"/>
  <c r="E33" i="9"/>
  <c r="M31" i="9"/>
  <c r="C39" i="9"/>
  <c r="H38" i="9"/>
  <c r="E40" i="9"/>
  <c r="M21" i="9"/>
  <c r="C33" i="9"/>
  <c r="G26" i="9"/>
  <c r="F21" i="9"/>
  <c r="L28" i="9"/>
  <c r="G14" i="9"/>
  <c r="N38" i="9"/>
  <c r="M19" i="9"/>
  <c r="E15" i="9"/>
  <c r="O33" i="9"/>
  <c r="N23" i="9"/>
  <c r="N14" i="9"/>
  <c r="N15" i="9"/>
  <c r="N30" i="9"/>
  <c r="N39" i="9"/>
  <c r="O38" i="9"/>
  <c r="C31" i="9"/>
  <c r="K29" i="9"/>
  <c r="E26" i="9"/>
  <c r="L18" i="9"/>
  <c r="J20" i="9"/>
  <c r="N18" i="9"/>
  <c r="I38" i="9"/>
  <c r="G28" i="9"/>
  <c r="I25" i="9"/>
  <c r="H13" i="9"/>
  <c r="C35" i="9"/>
  <c r="E38" i="9"/>
  <c r="K19" i="9"/>
  <c r="M24" i="9"/>
  <c r="H17" i="9"/>
  <c r="J30" i="9"/>
  <c r="I37" i="9"/>
  <c r="G41" i="9"/>
  <c r="K25" i="9"/>
  <c r="I23" i="9"/>
  <c r="J14" i="9"/>
  <c r="I41" i="9"/>
  <c r="J23" i="9"/>
  <c r="C20" i="9"/>
  <c r="G39" i="9"/>
  <c r="K23" i="9"/>
  <c r="I27" i="9"/>
  <c r="J32" i="9"/>
  <c r="E32" i="9"/>
  <c r="H24" i="9"/>
  <c r="G25" i="9"/>
  <c r="J25" i="9"/>
  <c r="N41" i="9"/>
  <c r="I26" i="9"/>
  <c r="J13" i="9"/>
  <c r="H16" i="9"/>
  <c r="G18" i="9"/>
  <c r="O21" i="9"/>
  <c r="N28" i="9"/>
  <c r="O13" i="9"/>
  <c r="O18" i="9"/>
  <c r="L33" i="9"/>
  <c r="O22" i="9"/>
  <c r="O30" i="9"/>
  <c r="G42" i="9"/>
  <c r="K21" i="9"/>
  <c r="M20" i="9"/>
  <c r="C14" i="9"/>
  <c r="E31" i="9"/>
  <c r="N36" i="9"/>
  <c r="H30" i="9"/>
  <c r="G20" i="9"/>
  <c r="E20" i="9"/>
  <c r="K22" i="9"/>
  <c r="M32" i="9"/>
  <c r="C42" i="9"/>
  <c r="I19" i="9"/>
  <c r="L12" i="9"/>
  <c r="F27" i="9"/>
  <c r="K42" i="9"/>
  <c r="G33" i="9"/>
  <c r="K17" i="9"/>
  <c r="E18" i="9"/>
  <c r="F41" i="9"/>
  <c r="M23" i="9"/>
  <c r="E36" i="9"/>
  <c r="C15" i="9"/>
  <c r="J15" i="9"/>
  <c r="H37" i="9"/>
  <c r="I42" i="9"/>
  <c r="K15" i="9"/>
  <c r="E22" i="9"/>
  <c r="I24" i="9"/>
  <c r="J16" i="9"/>
  <c r="I40" i="9"/>
  <c r="I34" i="9"/>
  <c r="L37" i="9"/>
  <c r="L14" i="9"/>
  <c r="E24" i="9"/>
  <c r="O27" i="9"/>
  <c r="K12" i="9"/>
  <c r="E16" i="9"/>
  <c r="C26" i="9"/>
  <c r="F19" i="9"/>
  <c r="O29" i="9"/>
  <c r="N19" i="9"/>
  <c r="N25" i="9"/>
  <c r="N26" i="9"/>
  <c r="N12" i="9"/>
  <c r="N35" i="9"/>
  <c r="F42" i="9"/>
  <c r="L25" i="9"/>
  <c r="K13" i="9"/>
  <c r="I15" i="9"/>
  <c r="F13" i="9"/>
  <c r="K41" i="9"/>
  <c r="C25" i="9"/>
  <c r="G12" i="9"/>
  <c r="M14" i="9"/>
  <c r="H40" i="9"/>
  <c r="F23" i="9"/>
  <c r="G35" i="9"/>
  <c r="E14" i="9"/>
  <c r="E21" i="9"/>
  <c r="E27" i="9"/>
  <c r="K34" i="9"/>
  <c r="J34" i="9"/>
  <c r="L40" i="9"/>
  <c r="M12" i="9"/>
  <c r="G17" i="9"/>
  <c r="J38" i="9"/>
  <c r="K40" i="9"/>
  <c r="G34" i="9"/>
  <c r="M15" i="9"/>
  <c r="I32" i="9"/>
  <c r="C38" i="9"/>
  <c r="M16" i="9"/>
  <c r="K28" i="9"/>
  <c r="J28" i="9"/>
  <c r="H19" i="9"/>
  <c r="F33" i="9"/>
  <c r="M34" i="9"/>
  <c r="G15" i="9"/>
  <c r="L30" i="9"/>
  <c r="E41" i="9"/>
  <c r="J18" i="9"/>
  <c r="C24" i="9"/>
  <c r="M33" i="9"/>
  <c r="N32" i="9"/>
  <c r="N33" i="9"/>
  <c r="J36" i="9"/>
  <c r="O37" i="9"/>
  <c r="N13" i="9"/>
  <c r="N31" i="9"/>
  <c r="F34" i="9"/>
  <c r="H35" i="9"/>
  <c r="G21" i="9"/>
  <c r="H32" i="9"/>
  <c r="M29" i="9"/>
  <c r="I30" i="9"/>
  <c r="L21" i="9"/>
  <c r="M37" i="9"/>
  <c r="N16" i="9"/>
  <c r="E28" i="9"/>
  <c r="I29" i="9"/>
  <c r="O35" i="9"/>
  <c r="L36" i="9"/>
  <c r="E19" i="9"/>
  <c r="H28" i="9"/>
  <c r="N20" i="9"/>
  <c r="H22" i="9"/>
  <c r="C29" i="9"/>
  <c r="E39" i="9"/>
  <c r="I28" i="9"/>
  <c r="G32" i="9"/>
  <c r="C27" i="9"/>
  <c r="I18" i="9"/>
  <c r="K35" i="9"/>
  <c r="J24" i="9"/>
  <c r="E37" i="9"/>
  <c r="C34" i="9"/>
  <c r="C12" i="9"/>
  <c r="I22" i="9"/>
  <c r="K30" i="9"/>
  <c r="H34" i="9"/>
  <c r="G31" i="9"/>
  <c r="M41" i="9"/>
  <c r="H18" i="9"/>
  <c r="O36" i="9"/>
  <c r="O42" i="9"/>
  <c r="N40" i="9"/>
  <c r="J41" i="9"/>
  <c r="I36" i="9"/>
  <c r="I14" i="9"/>
  <c r="M27" i="9"/>
  <c r="L41" i="9"/>
  <c r="N22" i="9"/>
  <c r="N42" i="9"/>
  <c r="O40" i="9"/>
  <c r="C21" i="9"/>
  <c r="O24" i="9"/>
  <c r="N24" i="9"/>
  <c r="F37" i="9"/>
  <c r="K32" i="9"/>
  <c r="H41" i="9"/>
  <c r="F25" i="9"/>
  <c r="N27" i="9"/>
  <c r="O30" i="10"/>
  <c r="O33" i="10"/>
  <c r="O23" i="10"/>
  <c r="L20" i="10"/>
  <c r="C30" i="10"/>
  <c r="O28" i="10"/>
  <c r="G30" i="10"/>
  <c r="M21" i="10"/>
  <c r="M32" i="10"/>
  <c r="M18" i="10"/>
  <c r="C10" i="10"/>
  <c r="J26" i="10"/>
  <c r="G13" i="10"/>
  <c r="E12" i="10"/>
  <c r="G12" i="10"/>
  <c r="H24" i="10"/>
  <c r="K27" i="10"/>
  <c r="E32" i="10"/>
  <c r="J28" i="10"/>
  <c r="L30" i="10"/>
  <c r="L23" i="10"/>
  <c r="I17" i="10"/>
  <c r="I29" i="10"/>
  <c r="G32" i="10"/>
  <c r="K20" i="10"/>
  <c r="G26" i="10"/>
  <c r="G22" i="10"/>
  <c r="C14" i="10"/>
  <c r="J21" i="10"/>
  <c r="C20" i="10"/>
  <c r="K18" i="10"/>
  <c r="E17" i="10"/>
  <c r="C29" i="10"/>
  <c r="J17" i="10"/>
  <c r="K17" i="10"/>
  <c r="J30" i="10"/>
  <c r="M15" i="10"/>
  <c r="E30" i="10"/>
  <c r="I11" i="10"/>
  <c r="C16" i="10"/>
  <c r="E25" i="10"/>
  <c r="F29" i="10"/>
  <c r="E15" i="10"/>
  <c r="J19" i="10"/>
  <c r="L15" i="10"/>
  <c r="L11" i="10"/>
  <c r="I28" i="10"/>
  <c r="I19" i="10"/>
  <c r="L32" i="10"/>
  <c r="F28" i="10"/>
  <c r="I22" i="10"/>
  <c r="E11" i="10"/>
  <c r="G25" i="10"/>
  <c r="F20" i="10"/>
  <c r="C22" i="10"/>
  <c r="G10" i="10"/>
  <c r="C32" i="10"/>
  <c r="N19" i="10"/>
  <c r="M20" i="10"/>
  <c r="K24" i="10"/>
  <c r="I23" i="10"/>
  <c r="M25" i="10"/>
  <c r="G14" i="10"/>
  <c r="J14" i="10"/>
  <c r="F25" i="10"/>
  <c r="E24" i="10"/>
  <c r="G31" i="10"/>
  <c r="K15" i="10"/>
  <c r="I27" i="10"/>
  <c r="C17" i="10"/>
  <c r="F22" i="10"/>
  <c r="K13" i="10"/>
  <c r="H26" i="10"/>
  <c r="N28" i="10"/>
  <c r="C15" i="10"/>
  <c r="N22" i="10"/>
  <c r="H25" i="10"/>
  <c r="N20" i="10"/>
  <c r="C24" i="10"/>
  <c r="M16" i="10"/>
  <c r="J15" i="10"/>
  <c r="C13" i="10"/>
  <c r="K30" i="10"/>
  <c r="G19" i="10"/>
  <c r="I15" i="10"/>
  <c r="K28" i="10"/>
  <c r="E13" i="10"/>
  <c r="O13" i="10"/>
  <c r="H15" i="10"/>
  <c r="L31" i="10"/>
  <c r="E18" i="10"/>
  <c r="K32" i="10"/>
  <c r="O22" i="10"/>
  <c r="F26" i="10"/>
  <c r="O26" i="10"/>
  <c r="F21" i="10"/>
  <c r="E27" i="10"/>
  <c r="J22" i="10"/>
  <c r="L16" i="10"/>
  <c r="C31" i="10"/>
  <c r="H18" i="10"/>
  <c r="G20" i="10"/>
  <c r="F11" i="10"/>
  <c r="K11" i="10"/>
  <c r="K25" i="10"/>
  <c r="O24" i="10"/>
  <c r="M27" i="10"/>
  <c r="M33" i="10"/>
  <c r="K31" i="10"/>
  <c r="J16" i="10"/>
  <c r="H20" i="10"/>
  <c r="H16" i="10"/>
  <c r="L33" i="10"/>
  <c r="C33" i="10"/>
  <c r="J32" i="10"/>
  <c r="F18" i="10"/>
  <c r="C12" i="10"/>
  <c r="I10" i="10"/>
  <c r="E28" i="10"/>
  <c r="L12" i="10"/>
  <c r="F14" i="10"/>
  <c r="H11" i="10"/>
  <c r="F16" i="10"/>
  <c r="E33" i="10"/>
  <c r="F30" i="10"/>
  <c r="H12" i="10"/>
  <c r="I18" i="10"/>
  <c r="F31" i="10"/>
  <c r="H10" i="10"/>
  <c r="E23" i="10"/>
  <c r="E19" i="10"/>
  <c r="M17" i="10"/>
  <c r="I32" i="10"/>
  <c r="G23" i="10"/>
  <c r="G18" i="10"/>
  <c r="J25" i="10"/>
  <c r="I12" i="10"/>
  <c r="M12" i="10"/>
  <c r="M22" i="10"/>
  <c r="J20" i="10"/>
  <c r="N18" i="10"/>
  <c r="H33" i="10"/>
  <c r="M19" i="10"/>
  <c r="H32" i="10"/>
  <c r="H30" i="10"/>
  <c r="I13" i="10"/>
  <c r="G27" i="10"/>
  <c r="K22" i="10"/>
  <c r="H22" i="10"/>
  <c r="F15" i="10"/>
  <c r="J31" i="10"/>
  <c r="H29" i="10"/>
  <c r="I30" i="10"/>
  <c r="G16" i="10"/>
  <c r="N27" i="10"/>
  <c r="C26" i="10"/>
  <c r="F24" i="10"/>
  <c r="L28" i="10"/>
  <c r="K19" i="10"/>
  <c r="M13" i="10"/>
  <c r="L26" i="10"/>
  <c r="O32" i="10"/>
  <c r="O21" i="10"/>
  <c r="L13" i="10"/>
  <c r="N32" i="10"/>
  <c r="G11" i="10"/>
  <c r="C21" i="10"/>
  <c r="G29" i="10"/>
  <c r="L27" i="10"/>
  <c r="F27" i="10"/>
  <c r="M26" i="10"/>
  <c r="H17" i="10"/>
  <c r="I16" i="10"/>
  <c r="C18" i="10"/>
  <c r="M14" i="10"/>
  <c r="N21" i="10"/>
  <c r="J29" i="10"/>
  <c r="O16" i="10"/>
  <c r="N30" i="10"/>
  <c r="G33" i="10"/>
  <c r="M29" i="10"/>
  <c r="N31" i="10"/>
  <c r="O10" i="10"/>
  <c r="N10" i="10"/>
  <c r="J10" i="10"/>
  <c r="H23" i="10"/>
  <c r="G17" i="10"/>
  <c r="F12" i="10"/>
  <c r="K12" i="10"/>
  <c r="L14" i="10"/>
  <c r="M10" i="10"/>
  <c r="C19" i="10"/>
  <c r="I33" i="10"/>
  <c r="I26" i="10"/>
  <c r="N12" i="10"/>
  <c r="F23" i="10"/>
  <c r="K10" i="10"/>
  <c r="O25" i="10"/>
  <c r="N24" i="10"/>
  <c r="F10" i="10"/>
  <c r="J27" i="10"/>
  <c r="E20" i="10"/>
  <c r="F13" i="10"/>
  <c r="L24" i="10"/>
  <c r="H13" i="10"/>
  <c r="E14" i="10"/>
  <c r="E22" i="10"/>
  <c r="H21" i="10"/>
  <c r="L29" i="10"/>
  <c r="O18" i="10"/>
  <c r="E10" i="10"/>
  <c r="M28" i="10"/>
  <c r="F33" i="10"/>
  <c r="I24" i="10"/>
  <c r="M24" i="10"/>
  <c r="N26" i="10"/>
  <c r="H14" i="10"/>
  <c r="K29" i="10"/>
  <c r="H19" i="10"/>
  <c r="N15" i="10"/>
  <c r="M23" i="10"/>
  <c r="O20" i="10"/>
  <c r="L21" i="10"/>
  <c r="N23" i="10"/>
  <c r="N17" i="10"/>
  <c r="J33" i="10"/>
  <c r="C25" i="10"/>
  <c r="E21" i="10"/>
  <c r="H27" i="10"/>
  <c r="E26" i="10"/>
  <c r="F19" i="10"/>
  <c r="K26" i="10"/>
  <c r="J12" i="10"/>
  <c r="C27" i="10"/>
  <c r="N16" i="10"/>
  <c r="I21" i="10"/>
  <c r="M30" i="10"/>
  <c r="N13" i="10"/>
  <c r="G28" i="10"/>
  <c r="F17" i="10"/>
  <c r="I14" i="10"/>
  <c r="E29" i="10"/>
  <c r="O27" i="10"/>
  <c r="L17" i="10"/>
  <c r="O17" i="10"/>
  <c r="O29" i="10"/>
  <c r="E16" i="10"/>
  <c r="K14" i="10"/>
  <c r="M31" i="10"/>
  <c r="J11" i="10"/>
  <c r="L19" i="10"/>
  <c r="L22" i="10"/>
  <c r="L18" i="10"/>
  <c r="F32" i="10"/>
  <c r="H28" i="10"/>
  <c r="K16" i="10"/>
  <c r="C28" i="10"/>
  <c r="H31" i="10"/>
  <c r="N14" i="10"/>
  <c r="I31" i="10"/>
  <c r="C23" i="10"/>
  <c r="K21" i="10"/>
  <c r="O12" i="10"/>
  <c r="O14" i="10"/>
  <c r="O15" i="10"/>
  <c r="N29" i="10"/>
  <c r="O11" i="10"/>
  <c r="N33" i="10"/>
  <c r="J18" i="10"/>
  <c r="G15" i="10"/>
  <c r="O31" i="10"/>
  <c r="J13" i="10"/>
  <c r="L10" i="10"/>
  <c r="N11" i="10"/>
  <c r="G24" i="10"/>
  <c r="M11" i="10"/>
  <c r="C11" i="10"/>
  <c r="K33" i="10"/>
  <c r="L25" i="10"/>
  <c r="O19" i="10"/>
  <c r="I20" i="10"/>
  <c r="J23" i="10"/>
  <c r="I25" i="10"/>
  <c r="K23" i="10"/>
  <c r="J24" i="10"/>
  <c r="E31" i="10"/>
  <c r="G21" i="10"/>
  <c r="N25" i="10"/>
  <c r="O37" i="11"/>
  <c r="N25" i="11"/>
  <c r="K35" i="11"/>
  <c r="I38" i="11"/>
  <c r="H23" i="11"/>
  <c r="M31" i="11"/>
  <c r="C22" i="11"/>
  <c r="N42" i="11"/>
  <c r="L30" i="11"/>
  <c r="E35" i="11"/>
  <c r="J12" i="11"/>
  <c r="M19" i="11"/>
  <c r="K40" i="11"/>
  <c r="I21" i="11"/>
  <c r="H31" i="11"/>
  <c r="L17" i="11"/>
  <c r="E26" i="11"/>
  <c r="K25" i="11"/>
  <c r="E42" i="11"/>
  <c r="L25" i="11"/>
  <c r="L18" i="11"/>
  <c r="K14" i="11"/>
  <c r="M41" i="11"/>
  <c r="F27" i="11"/>
  <c r="I26" i="11"/>
  <c r="L14" i="11"/>
  <c r="C34" i="11"/>
  <c r="M36" i="11"/>
  <c r="M38" i="11"/>
  <c r="C19" i="11"/>
  <c r="K15" i="11"/>
  <c r="M11" i="11"/>
  <c r="J34" i="11"/>
  <c r="E19" i="11"/>
  <c r="E14" i="11"/>
  <c r="F21" i="11"/>
  <c r="I39" i="11"/>
  <c r="G33" i="11"/>
  <c r="C16" i="11"/>
  <c r="F31" i="11"/>
  <c r="G38" i="11"/>
  <c r="N16" i="11"/>
  <c r="C27" i="11"/>
  <c r="O23" i="11"/>
  <c r="F39" i="11"/>
  <c r="E33" i="11"/>
  <c r="K32" i="11"/>
  <c r="C39" i="11"/>
  <c r="E41" i="11"/>
  <c r="C26" i="11"/>
  <c r="G36" i="11"/>
  <c r="H33" i="11"/>
  <c r="J41" i="11"/>
  <c r="M25" i="11"/>
  <c r="J11" i="11"/>
  <c r="F19" i="11"/>
  <c r="E29" i="11"/>
  <c r="I16" i="11"/>
  <c r="C18" i="11"/>
  <c r="G23" i="11"/>
  <c r="C21" i="11"/>
  <c r="I41" i="11"/>
  <c r="G15" i="11"/>
  <c r="E31" i="11"/>
  <c r="F17" i="11"/>
  <c r="M16" i="11"/>
  <c r="C32" i="11"/>
  <c r="H13" i="11"/>
  <c r="G19" i="11"/>
  <c r="F23" i="11"/>
  <c r="H14" i="11"/>
  <c r="F30" i="11"/>
  <c r="E34" i="11"/>
  <c r="H28" i="11"/>
  <c r="I29" i="11"/>
  <c r="E13" i="11"/>
  <c r="M42" i="11"/>
  <c r="F37" i="11"/>
  <c r="H20" i="11"/>
  <c r="N14" i="11"/>
  <c r="L19" i="11"/>
  <c r="F34" i="11"/>
  <c r="N19" i="11"/>
  <c r="O29" i="11"/>
  <c r="N30" i="11"/>
  <c r="L24" i="11"/>
  <c r="H40" i="11"/>
  <c r="K24" i="11"/>
  <c r="M35" i="11"/>
  <c r="C30" i="11"/>
  <c r="K38" i="11"/>
  <c r="G22" i="11"/>
  <c r="G16" i="11"/>
  <c r="M33" i="11"/>
  <c r="F11" i="11"/>
  <c r="M18" i="11"/>
  <c r="E38" i="11"/>
  <c r="F29" i="11"/>
  <c r="C17" i="11"/>
  <c r="J19" i="11"/>
  <c r="H37" i="11"/>
  <c r="L33" i="11"/>
  <c r="L38" i="11"/>
  <c r="F33" i="11"/>
  <c r="M21" i="11"/>
  <c r="E16" i="11"/>
  <c r="M37" i="11"/>
  <c r="J14" i="11"/>
  <c r="J42" i="11"/>
  <c r="I19" i="11"/>
  <c r="J25" i="11"/>
  <c r="L15" i="11"/>
  <c r="N41" i="11"/>
  <c r="M32" i="11"/>
  <c r="L13" i="11"/>
  <c r="L42" i="11"/>
  <c r="H39" i="11"/>
  <c r="N35" i="11"/>
  <c r="E25" i="11"/>
  <c r="I11" i="11"/>
  <c r="N36" i="11"/>
  <c r="G30" i="11"/>
  <c r="I36" i="11"/>
  <c r="O26" i="11"/>
  <c r="O28" i="11"/>
  <c r="O38" i="11"/>
  <c r="O34" i="11"/>
  <c r="M39" i="11"/>
  <c r="L20" i="11"/>
  <c r="C35" i="11"/>
  <c r="J30" i="11"/>
  <c r="H34" i="11"/>
  <c r="F41" i="11"/>
  <c r="H42" i="11"/>
  <c r="H30" i="11"/>
  <c r="F12" i="11"/>
  <c r="G20" i="11"/>
  <c r="L35" i="11"/>
  <c r="F32" i="11"/>
  <c r="G39" i="11"/>
  <c r="I24" i="11"/>
  <c r="I13" i="11"/>
  <c r="J18" i="11"/>
  <c r="H41" i="11"/>
  <c r="K29" i="11"/>
  <c r="F42" i="11"/>
  <c r="I30" i="11"/>
  <c r="J17" i="11"/>
  <c r="K13" i="11"/>
  <c r="I40" i="11"/>
  <c r="L39" i="11"/>
  <c r="I35" i="11"/>
  <c r="I22" i="11"/>
  <c r="I28" i="11"/>
  <c r="F28" i="11"/>
  <c r="E21" i="11"/>
  <c r="J31" i="11"/>
  <c r="F24" i="11"/>
  <c r="G13" i="11"/>
  <c r="O40" i="11"/>
  <c r="K27" i="11"/>
  <c r="O36" i="11"/>
  <c r="K23" i="11"/>
  <c r="C12" i="11"/>
  <c r="M30" i="11"/>
  <c r="M12" i="11"/>
  <c r="K36" i="11"/>
  <c r="O22" i="11"/>
  <c r="O18" i="11"/>
  <c r="C25" i="11"/>
  <c r="I34" i="11"/>
  <c r="L34" i="11"/>
  <c r="J22" i="11"/>
  <c r="K39" i="11"/>
  <c r="K30" i="11"/>
  <c r="L37" i="11"/>
  <c r="K28" i="11"/>
  <c r="H21" i="11"/>
  <c r="H22" i="11"/>
  <c r="J23" i="11"/>
  <c r="E15" i="11"/>
  <c r="G34" i="11"/>
  <c r="I37" i="11"/>
  <c r="K19" i="11"/>
  <c r="I15" i="11"/>
  <c r="J40" i="11"/>
  <c r="M40" i="11"/>
  <c r="H12" i="11"/>
  <c r="M24" i="11"/>
  <c r="M22" i="11"/>
  <c r="L26" i="11"/>
  <c r="H35" i="11"/>
  <c r="J38" i="11"/>
  <c r="L12" i="11"/>
  <c r="L41" i="11"/>
  <c r="G40" i="11"/>
  <c r="L40" i="11"/>
  <c r="G12" i="11"/>
  <c r="F18" i="11"/>
  <c r="C38" i="11"/>
  <c r="M15" i="11"/>
  <c r="J24" i="11"/>
  <c r="G14" i="11"/>
  <c r="C36" i="11"/>
  <c r="O39" i="11"/>
  <c r="I17" i="11"/>
  <c r="G42" i="11"/>
  <c r="K16" i="11"/>
  <c r="K11" i="11"/>
  <c r="E27" i="11"/>
  <c r="G24" i="11"/>
  <c r="E22" i="11"/>
  <c r="N21" i="11"/>
  <c r="C37" i="11"/>
  <c r="C41" i="11"/>
  <c r="K26" i="11"/>
  <c r="K41" i="11"/>
  <c r="N37" i="11"/>
  <c r="K31" i="11"/>
  <c r="K22" i="11"/>
  <c r="C33" i="11"/>
  <c r="K20" i="11"/>
  <c r="G27" i="11"/>
  <c r="H18" i="11"/>
  <c r="E12" i="11"/>
  <c r="I12" i="11"/>
  <c r="H29" i="11"/>
  <c r="L29" i="11"/>
  <c r="H11" i="11"/>
  <c r="M17" i="11"/>
  <c r="I32" i="11"/>
  <c r="G31" i="11"/>
  <c r="M27" i="11"/>
  <c r="J15" i="11"/>
  <c r="G28" i="11"/>
  <c r="C40" i="11"/>
  <c r="I18" i="11"/>
  <c r="H32" i="11"/>
  <c r="M34" i="11"/>
  <c r="E32" i="11"/>
  <c r="G26" i="11"/>
  <c r="E28" i="11"/>
  <c r="G35" i="11"/>
  <c r="M29" i="11"/>
  <c r="K42" i="11"/>
  <c r="H38" i="11"/>
  <c r="G18" i="11"/>
  <c r="C42" i="11"/>
  <c r="M13" i="11"/>
  <c r="N18" i="11"/>
  <c r="J13" i="11"/>
  <c r="N15" i="11"/>
  <c r="I14" i="11"/>
  <c r="J39" i="11"/>
  <c r="N22" i="11"/>
  <c r="M14" i="11"/>
  <c r="C23" i="11"/>
  <c r="N27" i="11"/>
  <c r="O32" i="11"/>
  <c r="H36" i="11"/>
  <c r="K18" i="11"/>
  <c r="K33" i="11"/>
  <c r="I42" i="11"/>
  <c r="L32" i="11"/>
  <c r="L36" i="11"/>
  <c r="K37" i="11"/>
  <c r="K34" i="11"/>
  <c r="I33" i="11"/>
  <c r="C13" i="11"/>
  <c r="I27" i="11"/>
  <c r="J29" i="11"/>
  <c r="C20" i="11"/>
  <c r="H26" i="11"/>
  <c r="F22" i="11"/>
  <c r="K12" i="11"/>
  <c r="G32" i="11"/>
  <c r="J36" i="11"/>
  <c r="K17" i="11"/>
  <c r="F35" i="11"/>
  <c r="I25" i="11"/>
  <c r="H16" i="11"/>
  <c r="F38" i="11"/>
  <c r="M26" i="11"/>
  <c r="E40" i="11"/>
  <c r="L22" i="11"/>
  <c r="L27" i="11"/>
  <c r="C14" i="11"/>
  <c r="F20" i="11"/>
  <c r="E11" i="11"/>
  <c r="E39" i="11"/>
  <c r="M28" i="11"/>
  <c r="G29" i="11"/>
  <c r="H19" i="11"/>
  <c r="G17" i="11"/>
  <c r="N39" i="11"/>
  <c r="O16" i="11"/>
  <c r="O17" i="11"/>
  <c r="O19" i="11"/>
  <c r="M23" i="11"/>
  <c r="E37" i="11"/>
  <c r="H15" i="11"/>
  <c r="E23" i="11"/>
  <c r="L23" i="11"/>
  <c r="F13" i="11"/>
  <c r="F14" i="11"/>
  <c r="N32" i="11"/>
  <c r="O30" i="11"/>
  <c r="O15" i="11"/>
  <c r="H27" i="11"/>
  <c r="G25" i="11"/>
  <c r="O14" i="11"/>
  <c r="J27" i="11"/>
  <c r="K21" i="11"/>
  <c r="J16" i="11"/>
  <c r="N33" i="11"/>
  <c r="L16" i="11"/>
  <c r="N17" i="11"/>
  <c r="J28" i="11"/>
  <c r="L21" i="11"/>
  <c r="G21" i="11"/>
  <c r="E20" i="11"/>
  <c r="J37" i="11"/>
  <c r="F26" i="11"/>
  <c r="F15" i="11"/>
  <c r="E17" i="11"/>
  <c r="I20" i="11"/>
  <c r="C31" i="11"/>
  <c r="G41" i="11"/>
  <c r="G11" i="11"/>
  <c r="L11" i="11"/>
  <c r="F25" i="11"/>
  <c r="J21" i="11"/>
  <c r="E24" i="11"/>
  <c r="O35" i="11"/>
  <c r="O13" i="11"/>
  <c r="J26" i="11"/>
  <c r="G37" i="11"/>
  <c r="I23" i="11"/>
  <c r="F40" i="11"/>
  <c r="N28" i="11"/>
  <c r="O41" i="11"/>
  <c r="H24" i="11"/>
  <c r="O21" i="11"/>
  <c r="N11" i="11"/>
  <c r="L31" i="11"/>
  <c r="J20" i="11"/>
  <c r="C28" i="11"/>
  <c r="F16" i="11"/>
  <c r="C15" i="11"/>
  <c r="O42" i="11"/>
  <c r="O33" i="11"/>
  <c r="N26" i="11"/>
  <c r="N29" i="11"/>
  <c r="J32" i="11"/>
  <c r="F36" i="11"/>
  <c r="C29" i="11"/>
  <c r="H25" i="11"/>
  <c r="C24" i="11"/>
  <c r="J33" i="11"/>
  <c r="N38" i="11"/>
  <c r="N40" i="11"/>
  <c r="E18" i="11"/>
  <c r="H17" i="11"/>
  <c r="O12" i="11"/>
  <c r="E36" i="11"/>
  <c r="I31" i="11"/>
  <c r="O20" i="11"/>
  <c r="E30" i="11"/>
  <c r="N20" i="11"/>
  <c r="N34" i="11"/>
  <c r="J35" i="11"/>
  <c r="O24" i="11"/>
  <c r="M20" i="11"/>
  <c r="N23" i="11"/>
  <c r="O11" i="11"/>
  <c r="N24" i="11"/>
  <c r="C11" i="11"/>
  <c r="O31" i="11"/>
  <c r="O25" i="11"/>
  <c r="O27" i="11"/>
  <c r="N13" i="11"/>
  <c r="N31" i="11"/>
  <c r="N12" i="11"/>
  <c r="L28" i="11"/>
  <c r="D25" i="8"/>
  <c r="U25" i="8"/>
  <c r="Q25" i="8"/>
  <c r="T25" i="8"/>
  <c r="S25" i="8"/>
  <c r="P25" i="8"/>
  <c r="R25" i="8"/>
  <c r="D13" i="8"/>
  <c r="R13" i="8"/>
  <c r="P13" i="8"/>
  <c r="Q13" i="8"/>
  <c r="U13" i="8"/>
  <c r="S13" i="8"/>
  <c r="T13" i="8"/>
  <c r="R23" i="8"/>
  <c r="Q23" i="8"/>
  <c r="P23" i="8"/>
  <c r="U23" i="8"/>
  <c r="D23" i="8"/>
  <c r="T23" i="8"/>
  <c r="S23" i="8"/>
  <c r="T15" i="8"/>
  <c r="Q15" i="8"/>
  <c r="P15" i="8"/>
  <c r="R15" i="8"/>
  <c r="U15" i="8"/>
  <c r="S15" i="8"/>
  <c r="D15" i="8"/>
  <c r="Q20" i="8"/>
  <c r="P20" i="8"/>
  <c r="S20" i="8"/>
  <c r="U20" i="8"/>
  <c r="D20" i="8"/>
  <c r="T20" i="8"/>
  <c r="R20" i="8"/>
  <c r="D18" i="8"/>
  <c r="Q18" i="8"/>
  <c r="R18" i="8"/>
  <c r="P18" i="8"/>
  <c r="U18" i="8"/>
  <c r="S18" i="8"/>
  <c r="T18" i="8"/>
  <c r="P29" i="8"/>
  <c r="R29" i="8"/>
  <c r="Q29" i="8"/>
  <c r="D29" i="8"/>
  <c r="U29" i="8"/>
  <c r="T29" i="8"/>
  <c r="S29" i="8"/>
  <c r="D17" i="8"/>
  <c r="R17" i="8"/>
  <c r="T17" i="8"/>
  <c r="S17" i="8"/>
  <c r="Q17" i="8"/>
  <c r="P17" i="8"/>
  <c r="U17" i="8"/>
  <c r="D16" i="8"/>
  <c r="R16" i="8"/>
  <c r="P16" i="8"/>
  <c r="U16" i="8"/>
  <c r="Q16" i="8"/>
  <c r="S16" i="8"/>
  <c r="T16" i="8"/>
  <c r="D19" i="8"/>
  <c r="Q19" i="8"/>
  <c r="P19" i="8"/>
  <c r="U19" i="8"/>
  <c r="T19" i="8"/>
  <c r="S19" i="8"/>
  <c r="R19" i="8"/>
  <c r="P26" i="8"/>
  <c r="T26" i="8"/>
  <c r="Q26" i="8"/>
  <c r="S26" i="8"/>
  <c r="R26" i="8"/>
  <c r="D26" i="8"/>
  <c r="U26" i="8"/>
  <c r="D22" i="8"/>
  <c r="U22" i="8"/>
  <c r="T22" i="8"/>
  <c r="S22" i="8"/>
  <c r="R22" i="8"/>
  <c r="P22" i="8"/>
  <c r="Q22" i="8"/>
  <c r="U21" i="8"/>
  <c r="D21" i="8"/>
  <c r="S21" i="8"/>
  <c r="T21" i="8"/>
  <c r="R21" i="8"/>
  <c r="P21" i="8"/>
  <c r="Q21" i="8"/>
  <c r="R28" i="8"/>
  <c r="Q28" i="8"/>
  <c r="D28" i="8"/>
  <c r="T28" i="8"/>
  <c r="P28" i="8"/>
  <c r="S28" i="8"/>
  <c r="U28" i="8"/>
  <c r="D24" i="8"/>
  <c r="S24" i="8"/>
  <c r="U24" i="8"/>
  <c r="R24" i="8"/>
  <c r="P24" i="8"/>
  <c r="Q24" i="8"/>
  <c r="T24" i="8"/>
  <c r="R27" i="8"/>
  <c r="T27" i="8"/>
  <c r="Q27" i="8"/>
  <c r="S27" i="8"/>
  <c r="P27" i="8"/>
  <c r="U27" i="8"/>
  <c r="D27" i="8"/>
  <c r="T14" i="8"/>
  <c r="S14" i="8"/>
  <c r="R14" i="8"/>
  <c r="U14" i="8"/>
  <c r="P14" i="8"/>
  <c r="D14" i="8"/>
  <c r="Q14" i="8"/>
  <c r="S12" i="8"/>
  <c r="Q12" i="8"/>
  <c r="T12" i="8"/>
  <c r="R12" i="8"/>
  <c r="U12" i="8"/>
  <c r="P12" i="8"/>
  <c r="D12" i="8"/>
  <c r="P11" i="8"/>
  <c r="R11" i="8"/>
  <c r="D11" i="8"/>
  <c r="S11" i="8"/>
  <c r="Q11" i="8"/>
  <c r="T11" i="8"/>
  <c r="U11" i="8"/>
  <c r="Q28" i="11" l="1"/>
  <c r="P28" i="11"/>
  <c r="U28" i="11"/>
  <c r="T28" i="11"/>
  <c r="S28" i="11"/>
  <c r="D28" i="11"/>
  <c r="R28" i="11"/>
  <c r="S17" i="11"/>
  <c r="U17" i="11"/>
  <c r="T17" i="11"/>
  <c r="D17" i="11"/>
  <c r="Q17" i="11"/>
  <c r="P17" i="11"/>
  <c r="R17" i="11"/>
  <c r="U32" i="11"/>
  <c r="T32" i="11"/>
  <c r="S32" i="11"/>
  <c r="R32" i="11"/>
  <c r="Q32" i="11"/>
  <c r="D32" i="11"/>
  <c r="P32" i="11"/>
  <c r="Q18" i="11"/>
  <c r="R18" i="11"/>
  <c r="T18" i="11"/>
  <c r="D18" i="11"/>
  <c r="U18" i="11"/>
  <c r="P18" i="11"/>
  <c r="S18" i="11"/>
  <c r="T27" i="11"/>
  <c r="P27" i="11"/>
  <c r="U27" i="11"/>
  <c r="Q27" i="11"/>
  <c r="D27" i="11"/>
  <c r="R27" i="11"/>
  <c r="S27" i="11"/>
  <c r="S34" i="11"/>
  <c r="R34" i="11"/>
  <c r="Q34" i="11"/>
  <c r="P34" i="11"/>
  <c r="D34" i="11"/>
  <c r="U34" i="11"/>
  <c r="T34" i="11"/>
  <c r="U25" i="10"/>
  <c r="T25" i="10"/>
  <c r="D25" i="10"/>
  <c r="S25" i="10"/>
  <c r="R25" i="10"/>
  <c r="Q25" i="10"/>
  <c r="P25" i="10"/>
  <c r="S15" i="10"/>
  <c r="U15" i="10"/>
  <c r="T15" i="10"/>
  <c r="D15" i="10"/>
  <c r="P15" i="10"/>
  <c r="Q15" i="10"/>
  <c r="R15" i="10"/>
  <c r="T10" i="10"/>
  <c r="Q10" i="10"/>
  <c r="P10" i="10"/>
  <c r="U10" i="10"/>
  <c r="S10" i="10"/>
  <c r="R10" i="10"/>
  <c r="D10" i="10"/>
  <c r="P39" i="9"/>
  <c r="R39" i="9"/>
  <c r="D39" i="9"/>
  <c r="Q39" i="9"/>
  <c r="U39" i="9"/>
  <c r="T39" i="9"/>
  <c r="S39" i="9"/>
  <c r="S37" i="9"/>
  <c r="T37" i="9"/>
  <c r="R37" i="9"/>
  <c r="Q37" i="9"/>
  <c r="U37" i="9"/>
  <c r="P37" i="9"/>
  <c r="D37" i="9"/>
  <c r="Q17" i="9"/>
  <c r="R17" i="9"/>
  <c r="D17" i="9"/>
  <c r="U17" i="9"/>
  <c r="P17" i="9"/>
  <c r="S17" i="9"/>
  <c r="T17" i="9"/>
  <c r="S36" i="9"/>
  <c r="Q36" i="9"/>
  <c r="P36" i="9"/>
  <c r="U36" i="9"/>
  <c r="D36" i="9"/>
  <c r="T36" i="9"/>
  <c r="R36" i="9"/>
  <c r="R32" i="9"/>
  <c r="Q32" i="9"/>
  <c r="P32" i="9"/>
  <c r="U32" i="9"/>
  <c r="T32" i="9"/>
  <c r="S32" i="9"/>
  <c r="D32" i="9"/>
  <c r="U31" i="10"/>
  <c r="T31" i="10"/>
  <c r="S31" i="10"/>
  <c r="R31" i="10"/>
  <c r="Q31" i="10"/>
  <c r="D31" i="10"/>
  <c r="P31" i="10"/>
  <c r="S14" i="10"/>
  <c r="R14" i="10"/>
  <c r="Q14" i="10"/>
  <c r="P14" i="10"/>
  <c r="T14" i="10"/>
  <c r="D14" i="10"/>
  <c r="U14" i="10"/>
  <c r="T25" i="11"/>
  <c r="S25" i="11"/>
  <c r="D25" i="11"/>
  <c r="P25" i="11"/>
  <c r="Q25" i="11"/>
  <c r="U25" i="11"/>
  <c r="R25" i="11"/>
  <c r="P35" i="11"/>
  <c r="R35" i="11"/>
  <c r="Q35" i="11"/>
  <c r="D35" i="11"/>
  <c r="U35" i="11"/>
  <c r="T35" i="11"/>
  <c r="S35" i="11"/>
  <c r="U30" i="11"/>
  <c r="P30" i="11"/>
  <c r="D30" i="11"/>
  <c r="T30" i="11"/>
  <c r="S30" i="11"/>
  <c r="Q30" i="11"/>
  <c r="R30" i="11"/>
  <c r="R26" i="11"/>
  <c r="U26" i="11"/>
  <c r="S26" i="11"/>
  <c r="T26" i="11"/>
  <c r="Q26" i="11"/>
  <c r="P26" i="11"/>
  <c r="D26" i="11"/>
  <c r="T27" i="10"/>
  <c r="S27" i="10"/>
  <c r="R27" i="10"/>
  <c r="Q27" i="10"/>
  <c r="P27" i="10"/>
  <c r="D27" i="10"/>
  <c r="U27" i="10"/>
  <c r="Q33" i="10"/>
  <c r="R33" i="10"/>
  <c r="U33" i="10"/>
  <c r="T33" i="10"/>
  <c r="D33" i="10"/>
  <c r="S33" i="10"/>
  <c r="P33" i="10"/>
  <c r="Q13" i="10"/>
  <c r="R13" i="10"/>
  <c r="P13" i="10"/>
  <c r="U13" i="10"/>
  <c r="T13" i="10"/>
  <c r="S13" i="10"/>
  <c r="D13" i="10"/>
  <c r="Q36" i="11"/>
  <c r="U36" i="11"/>
  <c r="T36" i="11"/>
  <c r="R36" i="11"/>
  <c r="S36" i="11"/>
  <c r="P36" i="11"/>
  <c r="D36" i="11"/>
  <c r="Q12" i="11"/>
  <c r="P12" i="11"/>
  <c r="U12" i="11"/>
  <c r="T12" i="11"/>
  <c r="S12" i="11"/>
  <c r="D12" i="11"/>
  <c r="R12" i="11"/>
  <c r="R26" i="10"/>
  <c r="Q26" i="10"/>
  <c r="T26" i="10"/>
  <c r="P26" i="10"/>
  <c r="U26" i="10"/>
  <c r="S26" i="10"/>
  <c r="D26" i="10"/>
  <c r="Q11" i="11"/>
  <c r="R11" i="11"/>
  <c r="P11" i="11"/>
  <c r="U11" i="11"/>
  <c r="D11" i="11"/>
  <c r="T11" i="11"/>
  <c r="S11" i="11"/>
  <c r="U23" i="11"/>
  <c r="P23" i="11"/>
  <c r="T23" i="11"/>
  <c r="D23" i="11"/>
  <c r="R23" i="11"/>
  <c r="Q23" i="11"/>
  <c r="S23" i="11"/>
  <c r="U28" i="10"/>
  <c r="D28" i="10"/>
  <c r="T28" i="10"/>
  <c r="S28" i="10"/>
  <c r="P28" i="10"/>
  <c r="R28" i="10"/>
  <c r="Q28" i="10"/>
  <c r="P32" i="10"/>
  <c r="U32" i="10"/>
  <c r="T32" i="10"/>
  <c r="S32" i="10"/>
  <c r="R32" i="10"/>
  <c r="Q32" i="10"/>
  <c r="D32" i="10"/>
  <c r="R29" i="10"/>
  <c r="T29" i="10"/>
  <c r="S29" i="10"/>
  <c r="D29" i="10"/>
  <c r="Q29" i="10"/>
  <c r="P29" i="10"/>
  <c r="U29" i="10"/>
  <c r="D21" i="9"/>
  <c r="T21" i="9"/>
  <c r="U21" i="9"/>
  <c r="P21" i="9"/>
  <c r="Q21" i="9"/>
  <c r="R21" i="9"/>
  <c r="S21" i="9"/>
  <c r="D27" i="9"/>
  <c r="T27" i="9"/>
  <c r="R27" i="9"/>
  <c r="U27" i="9"/>
  <c r="P27" i="9"/>
  <c r="Q27" i="9"/>
  <c r="S27" i="9"/>
  <c r="U38" i="9"/>
  <c r="P38" i="9"/>
  <c r="S38" i="9"/>
  <c r="D38" i="9"/>
  <c r="T38" i="9"/>
  <c r="Q38" i="9"/>
  <c r="R38" i="9"/>
  <c r="R16" i="9"/>
  <c r="Q16" i="9"/>
  <c r="S16" i="9"/>
  <c r="T16" i="9"/>
  <c r="D16" i="9"/>
  <c r="P16" i="9"/>
  <c r="U16" i="9"/>
  <c r="S18" i="9"/>
  <c r="D18" i="9"/>
  <c r="Q18" i="9"/>
  <c r="T18" i="9"/>
  <c r="P18" i="9"/>
  <c r="R18" i="9"/>
  <c r="U18" i="9"/>
  <c r="P19" i="9"/>
  <c r="U19" i="9"/>
  <c r="R19" i="9"/>
  <c r="Q19" i="9"/>
  <c r="D19" i="9"/>
  <c r="S19" i="9"/>
  <c r="T19" i="9"/>
  <c r="D20" i="11"/>
  <c r="P20" i="11"/>
  <c r="U20" i="11"/>
  <c r="T20" i="11"/>
  <c r="S20" i="11"/>
  <c r="R20" i="11"/>
  <c r="Q20" i="11"/>
  <c r="D42" i="11"/>
  <c r="U42" i="11"/>
  <c r="P42" i="11"/>
  <c r="R42" i="11"/>
  <c r="S42" i="11"/>
  <c r="Q42" i="11"/>
  <c r="T42" i="11"/>
  <c r="Q38" i="11"/>
  <c r="U38" i="11"/>
  <c r="T38" i="11"/>
  <c r="P38" i="11"/>
  <c r="S38" i="11"/>
  <c r="D38" i="11"/>
  <c r="R38" i="11"/>
  <c r="Q39" i="11"/>
  <c r="D39" i="11"/>
  <c r="S39" i="11"/>
  <c r="R39" i="11"/>
  <c r="U39" i="11"/>
  <c r="P39" i="11"/>
  <c r="T39" i="11"/>
  <c r="U19" i="10"/>
  <c r="P19" i="10"/>
  <c r="R19" i="10"/>
  <c r="Q19" i="10"/>
  <c r="S19" i="10"/>
  <c r="D19" i="10"/>
  <c r="T19" i="10"/>
  <c r="R16" i="10"/>
  <c r="Q16" i="10"/>
  <c r="U16" i="10"/>
  <c r="T16" i="10"/>
  <c r="D16" i="10"/>
  <c r="P16" i="10"/>
  <c r="S16" i="10"/>
  <c r="U26" i="9"/>
  <c r="D26" i="9"/>
  <c r="P26" i="9"/>
  <c r="Q26" i="9"/>
  <c r="R26" i="9"/>
  <c r="S26" i="9"/>
  <c r="T26" i="9"/>
  <c r="S15" i="9"/>
  <c r="U15" i="9"/>
  <c r="Q15" i="9"/>
  <c r="T15" i="9"/>
  <c r="R15" i="9"/>
  <c r="P15" i="9"/>
  <c r="D15" i="9"/>
  <c r="P35" i="9"/>
  <c r="Q35" i="9"/>
  <c r="S35" i="9"/>
  <c r="T35" i="9"/>
  <c r="U35" i="9"/>
  <c r="D35" i="9"/>
  <c r="R35" i="9"/>
  <c r="U30" i="9"/>
  <c r="Q30" i="9"/>
  <c r="D30" i="9"/>
  <c r="R30" i="9"/>
  <c r="T30" i="9"/>
  <c r="P30" i="9"/>
  <c r="S30" i="9"/>
  <c r="D24" i="9"/>
  <c r="Q24" i="9"/>
  <c r="R24" i="9"/>
  <c r="P24" i="9"/>
  <c r="S24" i="9"/>
  <c r="U24" i="9"/>
  <c r="T24" i="9"/>
  <c r="P31" i="11"/>
  <c r="U31" i="11"/>
  <c r="Q31" i="11"/>
  <c r="T31" i="11"/>
  <c r="R31" i="11"/>
  <c r="D31" i="11"/>
  <c r="S31" i="11"/>
  <c r="T14" i="11"/>
  <c r="S14" i="11"/>
  <c r="R14" i="11"/>
  <c r="Q14" i="11"/>
  <c r="D14" i="11"/>
  <c r="P14" i="11"/>
  <c r="U14" i="11"/>
  <c r="T41" i="11"/>
  <c r="R41" i="11"/>
  <c r="S41" i="11"/>
  <c r="D41" i="11"/>
  <c r="P41" i="11"/>
  <c r="U41" i="11"/>
  <c r="Q41" i="11"/>
  <c r="P16" i="11"/>
  <c r="U16" i="11"/>
  <c r="T16" i="11"/>
  <c r="S16" i="11"/>
  <c r="R16" i="11"/>
  <c r="Q16" i="11"/>
  <c r="D16" i="11"/>
  <c r="S22" i="11"/>
  <c r="U22" i="11"/>
  <c r="R22" i="11"/>
  <c r="P22" i="11"/>
  <c r="Q22" i="11"/>
  <c r="T22" i="11"/>
  <c r="D22" i="11"/>
  <c r="P21" i="10"/>
  <c r="D21" i="10"/>
  <c r="S21" i="10"/>
  <c r="Q21" i="10"/>
  <c r="R21" i="10"/>
  <c r="T21" i="10"/>
  <c r="U21" i="10"/>
  <c r="P24" i="10"/>
  <c r="Q24" i="10"/>
  <c r="D24" i="10"/>
  <c r="U24" i="10"/>
  <c r="T24" i="10"/>
  <c r="S24" i="10"/>
  <c r="R24" i="10"/>
  <c r="T22" i="10"/>
  <c r="R22" i="10"/>
  <c r="Q22" i="10"/>
  <c r="P22" i="10"/>
  <c r="D22" i="10"/>
  <c r="U22" i="10"/>
  <c r="S22" i="10"/>
  <c r="D12" i="9"/>
  <c r="Q12" i="9"/>
  <c r="R12" i="9"/>
  <c r="P12" i="9"/>
  <c r="U12" i="9"/>
  <c r="T12" i="9"/>
  <c r="S12" i="9"/>
  <c r="Q33" i="9"/>
  <c r="D33" i="9"/>
  <c r="T33" i="9"/>
  <c r="R33" i="9"/>
  <c r="P33" i="9"/>
  <c r="S33" i="9"/>
  <c r="U33" i="9"/>
  <c r="Q23" i="9"/>
  <c r="P23" i="9"/>
  <c r="U23" i="9"/>
  <c r="T23" i="9"/>
  <c r="S23" i="9"/>
  <c r="R23" i="9"/>
  <c r="D23" i="9"/>
  <c r="S28" i="9"/>
  <c r="P28" i="9"/>
  <c r="T28" i="9"/>
  <c r="Q28" i="9"/>
  <c r="R28" i="9"/>
  <c r="U28" i="9"/>
  <c r="D28" i="9"/>
  <c r="D29" i="11"/>
  <c r="S29" i="11"/>
  <c r="R29" i="11"/>
  <c r="Q29" i="11"/>
  <c r="P29" i="11"/>
  <c r="T29" i="11"/>
  <c r="U29" i="11"/>
  <c r="R40" i="11"/>
  <c r="D40" i="11"/>
  <c r="T40" i="11"/>
  <c r="P40" i="11"/>
  <c r="S40" i="11"/>
  <c r="Q40" i="11"/>
  <c r="U40" i="11"/>
  <c r="S24" i="11"/>
  <c r="Q24" i="11"/>
  <c r="P24" i="11"/>
  <c r="U24" i="11"/>
  <c r="R24" i="11"/>
  <c r="T24" i="11"/>
  <c r="D24" i="11"/>
  <c r="T37" i="11"/>
  <c r="R37" i="11"/>
  <c r="U37" i="11"/>
  <c r="P37" i="11"/>
  <c r="D37" i="11"/>
  <c r="Q37" i="11"/>
  <c r="S37" i="11"/>
  <c r="T19" i="11"/>
  <c r="S19" i="11"/>
  <c r="Q19" i="11"/>
  <c r="R19" i="11"/>
  <c r="P19" i="11"/>
  <c r="D19" i="11"/>
  <c r="U19" i="11"/>
  <c r="U18" i="10"/>
  <c r="P18" i="10"/>
  <c r="R18" i="10"/>
  <c r="Q18" i="10"/>
  <c r="S18" i="10"/>
  <c r="D18" i="10"/>
  <c r="T18" i="10"/>
  <c r="R17" i="10"/>
  <c r="D17" i="10"/>
  <c r="P17" i="10"/>
  <c r="U17" i="10"/>
  <c r="Q17" i="10"/>
  <c r="S17" i="10"/>
  <c r="T17" i="10"/>
  <c r="U20" i="10"/>
  <c r="P20" i="10"/>
  <c r="T20" i="10"/>
  <c r="S20" i="10"/>
  <c r="R20" i="10"/>
  <c r="Q20" i="10"/>
  <c r="D20" i="10"/>
  <c r="S34" i="9"/>
  <c r="U34" i="9"/>
  <c r="T34" i="9"/>
  <c r="R34" i="9"/>
  <c r="D34" i="9"/>
  <c r="Q34" i="9"/>
  <c r="P34" i="9"/>
  <c r="R25" i="9"/>
  <c r="U25" i="9"/>
  <c r="Q25" i="9"/>
  <c r="T25" i="9"/>
  <c r="D25" i="9"/>
  <c r="S25" i="9"/>
  <c r="P25" i="9"/>
  <c r="R31" i="9"/>
  <c r="S31" i="9"/>
  <c r="D31" i="9"/>
  <c r="T31" i="9"/>
  <c r="P31" i="9"/>
  <c r="Q31" i="9"/>
  <c r="U31" i="9"/>
  <c r="D22" i="9"/>
  <c r="Q22" i="9"/>
  <c r="U22" i="9"/>
  <c r="S22" i="9"/>
  <c r="P22" i="9"/>
  <c r="R22" i="9"/>
  <c r="T22" i="9"/>
  <c r="S15" i="11"/>
  <c r="R15" i="11"/>
  <c r="P15" i="11"/>
  <c r="U15" i="11"/>
  <c r="T15" i="11"/>
  <c r="D15" i="11"/>
  <c r="Q15" i="11"/>
  <c r="Q13" i="11"/>
  <c r="P13" i="11"/>
  <c r="U13" i="11"/>
  <c r="T13" i="11"/>
  <c r="S13" i="11"/>
  <c r="D13" i="11"/>
  <c r="R13" i="11"/>
  <c r="T33" i="11"/>
  <c r="S33" i="11"/>
  <c r="R33" i="11"/>
  <c r="D33" i="11"/>
  <c r="Q33" i="11"/>
  <c r="P33" i="11"/>
  <c r="U33" i="11"/>
  <c r="R21" i="11"/>
  <c r="Q21" i="11"/>
  <c r="P21" i="11"/>
  <c r="U21" i="11"/>
  <c r="T21" i="11"/>
  <c r="S21" i="11"/>
  <c r="D21" i="11"/>
  <c r="R11" i="10"/>
  <c r="S11" i="10"/>
  <c r="T11" i="10"/>
  <c r="D11" i="10"/>
  <c r="U11" i="10"/>
  <c r="Q11" i="10"/>
  <c r="P11" i="10"/>
  <c r="U23" i="10"/>
  <c r="T23" i="10"/>
  <c r="D23" i="10"/>
  <c r="R23" i="10"/>
  <c r="Q23" i="10"/>
  <c r="P23" i="10"/>
  <c r="S23" i="10"/>
  <c r="U12" i="10"/>
  <c r="T12" i="10"/>
  <c r="S12" i="10"/>
  <c r="Q12" i="10"/>
  <c r="D12" i="10"/>
  <c r="R12" i="10"/>
  <c r="P12" i="10"/>
  <c r="S30" i="10"/>
  <c r="T30" i="10"/>
  <c r="U30" i="10"/>
  <c r="R30" i="10"/>
  <c r="P30" i="10"/>
  <c r="Q30" i="10"/>
  <c r="D30" i="10"/>
  <c r="U29" i="9"/>
  <c r="S29" i="9"/>
  <c r="R29" i="9"/>
  <c r="Q29" i="9"/>
  <c r="P29" i="9"/>
  <c r="T29" i="9"/>
  <c r="D29" i="9"/>
  <c r="R42" i="9"/>
  <c r="T42" i="9"/>
  <c r="U42" i="9"/>
  <c r="D42" i="9"/>
  <c r="S42" i="9"/>
  <c r="Q42" i="9"/>
  <c r="P42" i="9"/>
  <c r="U14" i="9"/>
  <c r="P14" i="9"/>
  <c r="Q14" i="9"/>
  <c r="R14" i="9"/>
  <c r="S14" i="9"/>
  <c r="D14" i="9"/>
  <c r="T14" i="9"/>
  <c r="R20" i="9"/>
  <c r="T20" i="9"/>
  <c r="S20" i="9"/>
  <c r="D20" i="9"/>
  <c r="Q20" i="9"/>
  <c r="P20" i="9"/>
  <c r="U20" i="9"/>
  <c r="U40" i="9"/>
  <c r="Q40" i="9"/>
  <c r="D40" i="9"/>
  <c r="R40" i="9"/>
  <c r="T40" i="9"/>
  <c r="P40" i="9"/>
  <c r="S40" i="9"/>
  <c r="Q13" i="9"/>
  <c r="D13" i="9"/>
  <c r="P13" i="9"/>
  <c r="U13" i="9"/>
  <c r="S13" i="9"/>
  <c r="T13" i="9"/>
  <c r="R13" i="9"/>
  <c r="U41" i="9"/>
  <c r="D41" i="9"/>
  <c r="T41" i="9"/>
  <c r="S41" i="9"/>
  <c r="R41" i="9"/>
  <c r="Q41" i="9"/>
  <c r="P41" i="9"/>
</calcChain>
</file>

<file path=xl/sharedStrings.xml><?xml version="1.0" encoding="utf-8"?>
<sst xmlns="http://schemas.openxmlformats.org/spreadsheetml/2006/main" count="1113" uniqueCount="229">
  <si>
    <t>产品-品牌</t>
  </si>
  <si>
    <t>1.0元香爆脆</t>
  </si>
  <si>
    <t>营业部(顶益双管理)</t>
  </si>
  <si>
    <t>结果</t>
  </si>
  <si>
    <t>哈尔滨营业部</t>
  </si>
  <si>
    <t>宾县外埠所</t>
  </si>
  <si>
    <t>哈尔滨城区北所</t>
  </si>
  <si>
    <t>哈尔滨综合东所</t>
  </si>
  <si>
    <t>哈尔滨综合西所</t>
  </si>
  <si>
    <t>哈尔滨综合中所</t>
  </si>
  <si>
    <t>五常外埠所</t>
  </si>
  <si>
    <t>#</t>
  </si>
  <si>
    <t>黑东营业部</t>
  </si>
  <si>
    <t>鹤岗城区所</t>
  </si>
  <si>
    <t>鸡西城区所</t>
  </si>
  <si>
    <t>佳木斯城区所</t>
  </si>
  <si>
    <t>牡丹江城区所</t>
  </si>
  <si>
    <t>七台河外埠所</t>
  </si>
  <si>
    <t>双鸭山城区所</t>
  </si>
  <si>
    <t>双鸭山外埠所</t>
  </si>
  <si>
    <t>黑西营业部</t>
  </si>
  <si>
    <t>海拉尔城区所</t>
  </si>
  <si>
    <t>呼盟外埠所</t>
  </si>
  <si>
    <t>龙江外埠所</t>
  </si>
  <si>
    <t>齐齐哈尔城区所</t>
  </si>
  <si>
    <t>兴安外埠所</t>
  </si>
  <si>
    <t>黑中营业部</t>
  </si>
  <si>
    <t>大庆城区东所</t>
  </si>
  <si>
    <t>大庆城区西所</t>
  </si>
  <si>
    <t>海伦外埠所</t>
  </si>
  <si>
    <t>伊春外埠所</t>
  </si>
  <si>
    <t>肇东外埠所</t>
  </si>
  <si>
    <t>黑龙电商组(DY)</t>
  </si>
  <si>
    <t>黑龙电商所(DY)</t>
  </si>
  <si>
    <t>总体结果</t>
  </si>
  <si>
    <t>时间-年/月</t>
  </si>
  <si>
    <t>营业所(顶益双管理)</t>
  </si>
  <si>
    <t>鸡汁原味</t>
  </si>
  <si>
    <t>烤羊肉串</t>
  </si>
  <si>
    <t>麻辣小龙虾</t>
  </si>
  <si>
    <t>香葱鸡汁味</t>
  </si>
  <si>
    <t>香烤鱿鱼</t>
  </si>
  <si>
    <t>必售铺货率E=D/C</t>
  </si>
  <si>
    <t>出货</t>
    <phoneticPr fontId="19" type="noConversion"/>
  </si>
  <si>
    <t>成长</t>
    <phoneticPr fontId="19" type="noConversion"/>
  </si>
  <si>
    <t>TOP5口味BI铺货率</t>
    <phoneticPr fontId="19" type="noConversion"/>
  </si>
  <si>
    <t>同期</t>
    <phoneticPr fontId="19" type="noConversion"/>
  </si>
  <si>
    <t>目标</t>
    <phoneticPr fontId="19" type="noConversion"/>
  </si>
  <si>
    <t>达成</t>
    <phoneticPr fontId="19" type="noConversion"/>
  </si>
  <si>
    <t>黑龙江</t>
    <phoneticPr fontId="19" type="noConversion"/>
  </si>
  <si>
    <t>排名</t>
    <phoneticPr fontId="19" type="noConversion"/>
  </si>
  <si>
    <t>所</t>
    <phoneticPr fontId="19" type="noConversion"/>
  </si>
  <si>
    <t>2025.02</t>
  </si>
  <si>
    <t>实际出货数量（+非领搭赠，自然箱）</t>
  </si>
  <si>
    <t>目标出货数量(拆综合箱)(自然箱)</t>
  </si>
  <si>
    <t>2025.03.07 01:32:58</t>
  </si>
  <si>
    <t>客户-客户形态</t>
  </si>
  <si>
    <t>客户-客户编码 | 时间-年/月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</si>
  <si>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</si>
  <si>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</si>
  <si>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</si>
  <si>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</si>
  <si>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</si>
  <si>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</si>
  <si>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</si>
  <si>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</si>
  <si>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</si>
  <si>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</si>
  <si>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</si>
  <si>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</si>
  <si>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</si>
  <si>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</si>
  <si>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</si>
  <si>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乙经销商</t>
  </si>
  <si>
    <t>宾县龙兴</t>
  </si>
  <si>
    <t>丙经销商</t>
  </si>
  <si>
    <t>巴彦隆鹏</t>
  </si>
  <si>
    <t>木兰新小合</t>
  </si>
  <si>
    <t>通河佰昌</t>
  </si>
  <si>
    <t>方正晓雨</t>
  </si>
  <si>
    <t>尚志诺恒</t>
  </si>
  <si>
    <t>亚布力鑫卓</t>
  </si>
  <si>
    <t>延寿森茂</t>
  </si>
  <si>
    <t>城市经销商</t>
  </si>
  <si>
    <t>特约士多批</t>
  </si>
  <si>
    <t>松北讯楠</t>
  </si>
  <si>
    <t>崔勤经贸</t>
  </si>
  <si>
    <t>道外春雨</t>
  </si>
  <si>
    <t>道里水嘉淼</t>
  </si>
  <si>
    <t>维合商贸</t>
  </si>
  <si>
    <t>哈市汇双元</t>
  </si>
  <si>
    <t>洪亮经贸</t>
  </si>
  <si>
    <t>双城宏鑫</t>
  </si>
  <si>
    <t>五常林浩雪</t>
  </si>
  <si>
    <t>甲经销商</t>
  </si>
  <si>
    <t>阿城鑫未来</t>
  </si>
  <si>
    <t>鹤岗鸿翊隆</t>
  </si>
  <si>
    <t>鸡西红燕</t>
  </si>
  <si>
    <t>密山隆旺</t>
  </si>
  <si>
    <t>鸡西杰旭</t>
  </si>
  <si>
    <t>佳市美皓</t>
  </si>
  <si>
    <t>佳市缘百</t>
  </si>
  <si>
    <t>佳木斯宏满佳</t>
  </si>
  <si>
    <t>宁安铭达</t>
  </si>
  <si>
    <t>东宁绿和</t>
  </si>
  <si>
    <t>绥芬万泽</t>
  </si>
  <si>
    <t>海林黑土</t>
  </si>
  <si>
    <t>牡市辉煌</t>
  </si>
  <si>
    <t>牡市圣言</t>
  </si>
  <si>
    <t>穆棱国旺</t>
  </si>
  <si>
    <t>桦川日盈</t>
  </si>
  <si>
    <t>桦南方华</t>
  </si>
  <si>
    <t>勃利德顺</t>
  </si>
  <si>
    <t>友谊名庄</t>
  </si>
  <si>
    <t>林口汇翔</t>
  </si>
  <si>
    <t>汤原县大贵</t>
  </si>
  <si>
    <t>七台顺阳</t>
  </si>
  <si>
    <t>集贤县联济</t>
  </si>
  <si>
    <t>宝清远大</t>
  </si>
  <si>
    <t>抚远天添</t>
  </si>
  <si>
    <t>建三江广优</t>
  </si>
  <si>
    <t>绥滨德枫</t>
  </si>
  <si>
    <t>同江晏伊</t>
  </si>
  <si>
    <t>富锦金铭</t>
  </si>
  <si>
    <t>虎林蓝锦</t>
  </si>
  <si>
    <t>海拉鑫福达</t>
  </si>
  <si>
    <t>海拉泰运</t>
  </si>
  <si>
    <t>满洲万泰</t>
  </si>
  <si>
    <t>扎兰合益</t>
  </si>
  <si>
    <t>西旗跃腾达</t>
  </si>
  <si>
    <t>根河乐买家</t>
  </si>
  <si>
    <t>阿荣浩睿</t>
  </si>
  <si>
    <t>伊敏馨圣</t>
  </si>
  <si>
    <t>牙克丰远</t>
  </si>
  <si>
    <t>富区晶辉</t>
  </si>
  <si>
    <t>龙江文英</t>
  </si>
  <si>
    <t>甘南润鑫龙</t>
  </si>
  <si>
    <t>齐市昌庆</t>
  </si>
  <si>
    <t>齐市彤祥</t>
  </si>
  <si>
    <t>嫩江鑫宇新</t>
  </si>
  <si>
    <t>讷河鑫众杰</t>
  </si>
  <si>
    <t>塔河塔营</t>
  </si>
  <si>
    <t>加奇莫北</t>
  </si>
  <si>
    <t>黑河男狮</t>
  </si>
  <si>
    <t>大杨树春彤</t>
  </si>
  <si>
    <t>漠河慧民</t>
  </si>
  <si>
    <t>莫旗尚诚</t>
  </si>
  <si>
    <t>大庆财亿</t>
  </si>
  <si>
    <t>大庆旺家财</t>
  </si>
  <si>
    <t>大庆联家优选</t>
  </si>
  <si>
    <t>海伦晓惠</t>
  </si>
  <si>
    <t>克东盈利</t>
  </si>
  <si>
    <t>北安博源</t>
  </si>
  <si>
    <t>克山鑫万泽</t>
  </si>
  <si>
    <t>五市盛泽</t>
  </si>
  <si>
    <t>逊克晶承鑫</t>
  </si>
  <si>
    <t>绥化外埠所</t>
  </si>
  <si>
    <t>兴隆鑫康鸿</t>
  </si>
  <si>
    <t>青冈晓雨</t>
  </si>
  <si>
    <t>兰西恒泰</t>
  </si>
  <si>
    <t>绥化正祥</t>
  </si>
  <si>
    <t>伊春宏锦坤</t>
  </si>
  <si>
    <t>铁力金帝公司</t>
  </si>
  <si>
    <t>望奎坤海</t>
  </si>
  <si>
    <t>庆安佳庆商贸</t>
  </si>
  <si>
    <t>嘉荫汇丰</t>
  </si>
  <si>
    <t>南岔永合</t>
  </si>
  <si>
    <t>绥棱于坤</t>
  </si>
  <si>
    <t>安达祥鑫</t>
  </si>
  <si>
    <t>大同力运丰</t>
  </si>
  <si>
    <t>红岗萌华</t>
  </si>
  <si>
    <t>杜蒙悍菲</t>
  </si>
  <si>
    <t>林甸鑫铭鑫</t>
  </si>
  <si>
    <t>肇州鑫泉</t>
  </si>
  <si>
    <r>
      <rPr>
        <sz val="8"/>
        <color rgb="FF000000"/>
        <rFont val="等线"/>
        <family val="2"/>
        <charset val="134"/>
      </rPr>
      <t>目标</t>
    </r>
    <phoneticPr fontId="19" type="noConversion"/>
  </si>
  <si>
    <t>排名</t>
  </si>
  <si>
    <t>出货</t>
  </si>
  <si>
    <t>成长</t>
  </si>
  <si>
    <t>TOP5口味BI铺货率</t>
  </si>
  <si>
    <t>同期</t>
  </si>
  <si>
    <t>目标</t>
  </si>
  <si>
    <t>达成</t>
  </si>
  <si>
    <t>客户</t>
    <phoneticPr fontId="19" type="noConversion"/>
  </si>
  <si>
    <t>品牌</t>
  </si>
  <si>
    <t>区域</t>
  </si>
  <si>
    <t>黑龙江行销区域</t>
  </si>
  <si>
    <t>呼兰鲁岳</t>
  </si>
  <si>
    <t>利民顺灿</t>
  </si>
  <si>
    <t>成江商贸</t>
  </si>
  <si>
    <t>道外山平</t>
  </si>
  <si>
    <t>泰来丰海</t>
  </si>
  <si>
    <t>萝北金宏旺</t>
  </si>
  <si>
    <t>肇源晟康源</t>
  </si>
  <si>
    <t>2503</t>
    <phoneticPr fontId="19" type="noConversion"/>
  </si>
  <si>
    <t>椒盐小酥肉</t>
  </si>
  <si>
    <t>葭苍商贸</t>
  </si>
  <si>
    <t>拜泉卓润</t>
  </si>
  <si>
    <t>依安杜樽</t>
  </si>
  <si>
    <t>客户</t>
    <phoneticPr fontId="19" type="noConversion"/>
  </si>
  <si>
    <t>营业所</t>
    <phoneticPr fontId="19" type="noConversion"/>
  </si>
  <si>
    <t>哈尔滨部</t>
    <phoneticPr fontId="19" type="noConversion"/>
  </si>
  <si>
    <t>黑中部</t>
    <phoneticPr fontId="19" type="noConversion"/>
  </si>
  <si>
    <t>黑西部</t>
    <phoneticPr fontId="19" type="noConversion"/>
  </si>
  <si>
    <t>黑东部</t>
    <phoneticPr fontId="19" type="noConversion"/>
  </si>
  <si>
    <t>2504</t>
    <phoneticPr fontId="19" type="noConversion"/>
  </si>
  <si>
    <t>孙吴起浩</t>
  </si>
  <si>
    <t>明水百佳惠</t>
  </si>
  <si>
    <t/>
  </si>
  <si>
    <t>德亮酒行</t>
  </si>
  <si>
    <t>杜蒙悍之斐</t>
  </si>
  <si>
    <t>富裕泓淼源</t>
  </si>
  <si>
    <t>加奇明伟</t>
  </si>
  <si>
    <t>双鸭山旺通</t>
  </si>
  <si>
    <t>依兰仁广</t>
  </si>
  <si>
    <t>肇东汇百康</t>
  </si>
  <si>
    <t>客户-客户编码</t>
  </si>
  <si>
    <t>客户-上级客户|口味码</t>
  </si>
  <si>
    <t>2505</t>
    <phoneticPr fontId="19" type="noConversion"/>
  </si>
  <si>
    <t>呼兰禄盈</t>
  </si>
  <si>
    <t>桦川润盈</t>
  </si>
  <si>
    <t>林甸铭鑫</t>
  </si>
  <si>
    <t>依安桐哲</t>
  </si>
  <si>
    <t>2025.05</t>
  </si>
  <si>
    <t>实际出货数量（+非领搭赠）</t>
  </si>
  <si>
    <t>百发批发</t>
  </si>
  <si>
    <t>实盘库存</t>
    <phoneticPr fontId="19" type="noConversion"/>
  </si>
  <si>
    <t>4月</t>
    <phoneticPr fontId="19" type="noConversion"/>
  </si>
  <si>
    <t>5月</t>
    <phoneticPr fontId="19" type="noConversion"/>
  </si>
  <si>
    <t>环比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</si>
</sst>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_(* #,##0.00_);_(* \(#,##0.00\);_(* &quot;-&quot;??_);_(@_)"/>
    <numFmt numFmtId="177" formatCode="#,##0.000;\-#,##0.000;#,##0.000;@"/>
    <numFmt numFmtId="178" formatCode="_ * #,##0.0_ ;_ * \-#,##0.0_ ;_ * &quot;-&quot;??_ ;_ @_ "/>
    <numFmt numFmtId="179" formatCode="_ * #,##0_ ;_ * \-#,##0_ ;_ * &quot;-&quot;??_ ;_ @_ "/>
    <numFmt numFmtId="180" formatCode="###,000"/>
    <numFmt numFmtId="181" formatCode="#,##0.00&quot; &quot;%;\-#,##0.00&quot; &quot;%;#,##0.00&quot; &quot;%"/>
    <numFmt numFmtId="182" formatCode="#,##0.000;\-#,##0.000;#,##0.000"/>
  </numFmts>
  <fonts count="3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8"/>
      <color rgb="FF000000"/>
      <name val="Arial"/>
      <family val="2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8"/>
      <color rgb="FF000000"/>
      <name val="等线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8"/>
      <color rgb="FF000000"/>
      <name val="宋体"/>
      <family val="3"/>
      <charset val="134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/>
      <diagonal/>
    </border>
    <border>
      <left/>
      <right/>
      <top style="medium">
        <color rgb="FFAEAEAE"/>
      </top>
      <bottom/>
      <diagonal/>
    </border>
    <border>
      <left/>
      <right style="medium">
        <color rgb="FFAEAEAE"/>
      </right>
      <top style="medium">
        <color rgb="FFAEAEAE"/>
      </top>
      <bottom/>
      <diagonal/>
    </border>
    <border>
      <left/>
      <right/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/>
      <bottom style="medium">
        <color rgb="FFAEAEAE"/>
      </bottom>
      <diagonal/>
    </border>
    <border>
      <left/>
      <right/>
      <top/>
      <bottom style="medium">
        <color rgb="FFAEAEAE"/>
      </bottom>
      <diagonal/>
    </border>
    <border>
      <left/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/>
      <diagonal/>
    </border>
    <border>
      <left style="thin">
        <color rgb="FF808080"/>
      </left>
      <right style="dotted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dotted">
        <color rgb="FF808080"/>
      </right>
      <top style="thin">
        <color rgb="FF808080"/>
      </top>
      <bottom/>
      <diagonal/>
    </border>
    <border>
      <left style="thin">
        <color rgb="FF808080"/>
      </left>
      <right style="dotted">
        <color rgb="FF808080"/>
      </right>
      <top/>
      <bottom style="thin">
        <color rgb="FF808080"/>
      </bottom>
      <diagonal/>
    </border>
    <border>
      <left style="dotted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tted">
        <color rgb="FF808080"/>
      </left>
      <right style="thin">
        <color rgb="FF808080"/>
      </right>
      <top style="thin">
        <color rgb="FF808080"/>
      </top>
      <bottom/>
      <diagonal/>
    </border>
    <border>
      <left style="dotted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dotted">
        <color rgb="FF808080"/>
      </bottom>
      <diagonal/>
    </border>
    <border>
      <left/>
      <right/>
      <top style="thin">
        <color rgb="FF808080"/>
      </top>
      <bottom style="dotted">
        <color rgb="FF808080"/>
      </bottom>
      <diagonal/>
    </border>
    <border>
      <left/>
      <right style="thin">
        <color rgb="FF808080"/>
      </right>
      <top style="thin">
        <color rgb="FF808080"/>
      </top>
      <bottom style="dotted">
        <color rgb="FF808080"/>
      </bottom>
      <diagonal/>
    </border>
    <border>
      <left style="thin">
        <color rgb="FF808080"/>
      </left>
      <right style="dotted">
        <color rgb="FF808080"/>
      </right>
      <top style="dotted">
        <color rgb="FF808080"/>
      </top>
      <bottom style="thin">
        <color rgb="FF80808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thin">
        <color rgb="FF808080"/>
      </bottom>
      <diagonal/>
    </border>
    <border>
      <left style="dotted">
        <color rgb="FF808080"/>
      </left>
      <right style="thin">
        <color rgb="FF808080"/>
      </right>
      <top style="dotted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tted">
        <color rgb="FF808080"/>
      </left>
      <right style="dotted">
        <color rgb="FF808080"/>
      </right>
      <top style="thin">
        <color rgb="FF808080"/>
      </top>
      <bottom style="thin">
        <color rgb="FF808080"/>
      </bottom>
      <diagonal/>
    </border>
    <border>
      <left style="dotted">
        <color rgb="FF808080"/>
      </left>
      <right style="dotted">
        <color rgb="FF808080"/>
      </right>
      <top style="thin">
        <color rgb="FF808080"/>
      </top>
      <bottom/>
      <diagonal/>
    </border>
    <border>
      <left style="thin">
        <color rgb="FF808080"/>
      </left>
      <right style="dotted">
        <color rgb="FF808080"/>
      </right>
      <top/>
      <bottom/>
      <diagonal/>
    </border>
    <border>
      <left style="dotted">
        <color rgb="FF808080"/>
      </left>
      <right style="thin">
        <color rgb="FF808080"/>
      </right>
      <top/>
      <bottom/>
      <diagonal/>
    </border>
    <border>
      <left style="dotted">
        <color rgb="FF808080"/>
      </left>
      <right style="dotted">
        <color rgb="FF808080"/>
      </right>
      <top/>
      <bottom/>
      <diagonal/>
    </border>
    <border>
      <left style="dotted">
        <color rgb="FF808080"/>
      </left>
      <right style="dotted">
        <color rgb="FF808080"/>
      </right>
      <top/>
      <bottom style="thin">
        <color rgb="FF808080"/>
      </bottom>
      <diagonal/>
    </border>
    <border>
      <left/>
      <right style="dotted">
        <color rgb="FF808080"/>
      </right>
      <top style="dotted">
        <color rgb="FF808080"/>
      </top>
      <bottom style="thin">
        <color rgb="FF808080"/>
      </bottom>
      <diagonal/>
    </border>
    <border>
      <left/>
      <right style="dotted">
        <color rgb="FF808080"/>
      </right>
      <top style="thin">
        <color rgb="FF808080"/>
      </top>
      <bottom style="thin">
        <color rgb="FF808080"/>
      </bottom>
      <diagonal/>
    </border>
    <border>
      <left/>
      <right style="dotted">
        <color rgb="FF808080"/>
      </right>
      <top style="thin">
        <color rgb="FF808080"/>
      </top>
      <bottom/>
      <diagonal/>
    </border>
    <border>
      <left/>
      <right style="dotted">
        <color rgb="FF808080"/>
      </right>
      <top/>
      <bottom/>
      <diagonal/>
    </border>
    <border>
      <left/>
      <right style="dotted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theme="3" tint="-0.24994659260841701"/>
      </right>
      <top style="thin">
        <color theme="3" tint="-0.24994659260841701"/>
      </top>
      <bottom style="thin">
        <color rgb="FF80808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dotted">
        <color rgb="FF808080"/>
      </left>
      <right style="thin">
        <color rgb="FF808080"/>
      </right>
      <top style="thin">
        <color rgb="FF808080"/>
      </top>
      <bottom style="dotted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dotted">
        <color rgb="FF808080"/>
      </right>
      <top style="thin">
        <color rgb="FF808080"/>
      </top>
      <bottom style="dotted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8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40" borderId="50" applyNumberFormat="0" applyAlignment="0" applyProtection="0">
      <alignment horizontal="left" vertical="center" indent="1"/>
    </xf>
    <xf numFmtId="180" fontId="28" fillId="0" borderId="51" applyNumberFormat="0" applyProtection="0">
      <alignment horizontal="right" vertical="center"/>
    </xf>
    <xf numFmtId="180" fontId="27" fillId="0" borderId="49" applyNumberFormat="0" applyProtection="0">
      <alignment horizontal="right" vertical="center"/>
    </xf>
    <xf numFmtId="180" fontId="28" fillId="41" borderId="50" applyNumberFormat="0" applyAlignment="0" applyProtection="0">
      <alignment horizontal="left" vertical="center" indent="1"/>
    </xf>
    <xf numFmtId="0" fontId="29" fillId="42" borderId="49" applyNumberFormat="0" applyAlignment="0">
      <alignment horizontal="left" vertical="center" indent="1"/>
      <protection locked="0"/>
    </xf>
    <xf numFmtId="0" fontId="29" fillId="43" borderId="49" applyNumberFormat="0" applyAlignment="0" applyProtection="0">
      <alignment horizontal="left" vertical="center" indent="1"/>
    </xf>
    <xf numFmtId="180" fontId="28" fillId="44" borderId="51" applyNumberFormat="0" applyBorder="0">
      <alignment horizontal="right" vertical="center"/>
      <protection locked="0"/>
    </xf>
    <xf numFmtId="0" fontId="29" fillId="42" borderId="49" applyNumberFormat="0" applyAlignment="0">
      <alignment horizontal="left" vertical="center" indent="1"/>
      <protection locked="0"/>
    </xf>
    <xf numFmtId="180" fontId="27" fillId="43" borderId="49" applyNumberFormat="0" applyProtection="0">
      <alignment horizontal="right" vertical="center"/>
    </xf>
    <xf numFmtId="180" fontId="27" fillId="44" borderId="49" applyNumberFormat="0" applyBorder="0">
      <alignment horizontal="right" vertical="center"/>
      <protection locked="0"/>
    </xf>
    <xf numFmtId="180" fontId="30" fillId="45" borderId="52" applyNumberFormat="0" applyBorder="0" applyAlignment="0" applyProtection="0">
      <alignment horizontal="right" vertical="center" indent="1"/>
    </xf>
    <xf numFmtId="180" fontId="31" fillId="46" borderId="52" applyNumberFormat="0" applyBorder="0" applyAlignment="0" applyProtection="0">
      <alignment horizontal="right" vertical="center" indent="1"/>
    </xf>
    <xf numFmtId="180" fontId="31" fillId="47" borderId="52" applyNumberFormat="0" applyBorder="0" applyAlignment="0" applyProtection="0">
      <alignment horizontal="right" vertical="center" indent="1"/>
    </xf>
    <xf numFmtId="180" fontId="32" fillId="48" borderId="52" applyNumberFormat="0" applyBorder="0" applyAlignment="0" applyProtection="0">
      <alignment horizontal="right" vertical="center" indent="1"/>
    </xf>
    <xf numFmtId="180" fontId="32" fillId="49" borderId="52" applyNumberFormat="0" applyBorder="0" applyAlignment="0" applyProtection="0">
      <alignment horizontal="right" vertical="center" indent="1"/>
    </xf>
    <xf numFmtId="180" fontId="32" fillId="50" borderId="52" applyNumberFormat="0" applyBorder="0" applyAlignment="0" applyProtection="0">
      <alignment horizontal="right" vertical="center" indent="1"/>
    </xf>
    <xf numFmtId="180" fontId="33" fillId="51" borderId="52" applyNumberFormat="0" applyBorder="0" applyAlignment="0" applyProtection="0">
      <alignment horizontal="right" vertical="center" indent="1"/>
    </xf>
    <xf numFmtId="180" fontId="33" fillId="52" borderId="52" applyNumberFormat="0" applyBorder="0" applyAlignment="0" applyProtection="0">
      <alignment horizontal="right" vertical="center" indent="1"/>
    </xf>
    <xf numFmtId="180" fontId="33" fillId="53" borderId="52" applyNumberFormat="0" applyBorder="0" applyAlignment="0" applyProtection="0">
      <alignment horizontal="right" vertical="center" indent="1"/>
    </xf>
    <xf numFmtId="0" fontId="18" fillId="0" borderId="50" applyNumberFormat="0" applyFont="0" applyFill="0" applyAlignment="0" applyProtection="0"/>
    <xf numFmtId="180" fontId="34" fillId="41" borderId="0" applyNumberFormat="0" applyAlignment="0" applyProtection="0">
      <alignment horizontal="left" vertical="center" indent="1"/>
    </xf>
    <xf numFmtId="0" fontId="18" fillId="0" borderId="53" applyNumberFormat="0" applyFont="0" applyFill="0" applyAlignment="0" applyProtection="0"/>
    <xf numFmtId="180" fontId="28" fillId="0" borderId="51" applyNumberFormat="0" applyFill="0" applyBorder="0" applyAlignment="0" applyProtection="0">
      <alignment horizontal="right" vertical="center"/>
    </xf>
    <xf numFmtId="180" fontId="28" fillId="41" borderId="50" applyNumberFormat="0" applyAlignment="0" applyProtection="0">
      <alignment horizontal="left" vertical="center" indent="1"/>
    </xf>
    <xf numFmtId="0" fontId="27" fillId="40" borderId="49" applyNumberFormat="0" applyAlignment="0" applyProtection="0">
      <alignment horizontal="left" vertical="center" indent="1"/>
    </xf>
    <xf numFmtId="0" fontId="29" fillId="54" borderId="50" applyNumberFormat="0" applyAlignment="0" applyProtection="0">
      <alignment horizontal="left" vertical="center" indent="1"/>
    </xf>
    <xf numFmtId="0" fontId="29" fillId="55" borderId="50" applyNumberFormat="0" applyAlignment="0" applyProtection="0">
      <alignment horizontal="left" vertical="center" indent="1"/>
    </xf>
    <xf numFmtId="0" fontId="29" fillId="56" borderId="50" applyNumberFormat="0" applyAlignment="0" applyProtection="0">
      <alignment horizontal="left" vertical="center" indent="1"/>
    </xf>
    <xf numFmtId="0" fontId="29" fillId="44" borderId="50" applyNumberFormat="0" applyAlignment="0" applyProtection="0">
      <alignment horizontal="left" vertical="center" indent="1"/>
    </xf>
    <xf numFmtId="0" fontId="29" fillId="43" borderId="49" applyNumberFormat="0" applyAlignment="0" applyProtection="0">
      <alignment horizontal="left" vertical="center" indent="1"/>
    </xf>
    <xf numFmtId="0" fontId="35" fillId="0" borderId="54" applyNumberFormat="0" applyFill="0" applyBorder="0" applyAlignment="0" applyProtection="0"/>
    <xf numFmtId="0" fontId="36" fillId="0" borderId="54" applyNumberFormat="0" applyBorder="0" applyAlignment="0" applyProtection="0"/>
    <xf numFmtId="0" fontId="35" fillId="42" borderId="49" applyNumberFormat="0" applyAlignment="0">
      <alignment horizontal="left" vertical="center" indent="1"/>
      <protection locked="0"/>
    </xf>
    <xf numFmtId="0" fontId="35" fillId="42" borderId="49" applyNumberFormat="0" applyAlignment="0">
      <alignment horizontal="left" vertical="center" indent="1"/>
      <protection locked="0"/>
    </xf>
    <xf numFmtId="0" fontId="35" fillId="43" borderId="49" applyNumberFormat="0" applyAlignment="0" applyProtection="0">
      <alignment horizontal="left" vertical="center" indent="1"/>
    </xf>
    <xf numFmtId="180" fontId="37" fillId="43" borderId="49" applyNumberFormat="0" applyProtection="0">
      <alignment horizontal="right" vertical="center"/>
    </xf>
    <xf numFmtId="180" fontId="38" fillId="44" borderId="51" applyNumberFormat="0" applyBorder="0">
      <alignment horizontal="right" vertical="center"/>
      <protection locked="0"/>
    </xf>
    <xf numFmtId="180" fontId="37" fillId="44" borderId="49" applyNumberFormat="0" applyBorder="0">
      <alignment horizontal="right" vertical="center"/>
      <protection locked="0"/>
    </xf>
    <xf numFmtId="180" fontId="28" fillId="0" borderId="51" applyNumberFormat="0" applyFill="0" applyBorder="0" applyAlignment="0" applyProtection="0">
      <alignment horizontal="right" vertical="center"/>
    </xf>
  </cellStyleXfs>
  <cellXfs count="207">
    <xf numFmtId="0" fontId="0" fillId="0" borderId="0" xfId="0">
      <alignment vertical="center"/>
    </xf>
    <xf numFmtId="49" fontId="18" fillId="33" borderId="0" xfId="0" applyNumberFormat="1" applyFont="1" applyFill="1" applyAlignment="1">
      <alignment vertical="center" wrapText="1"/>
    </xf>
    <xf numFmtId="49" fontId="18" fillId="34" borderId="10" xfId="0" applyNumberFormat="1" applyFont="1" applyFill="1" applyBorder="1" applyAlignment="1">
      <alignment horizontal="right" vertical="center" wrapText="1"/>
    </xf>
    <xf numFmtId="49" fontId="18" fillId="34" borderId="10" xfId="0" applyNumberFormat="1" applyFont="1" applyFill="1" applyBorder="1" applyAlignment="1">
      <alignment horizontal="left" vertical="center" wrapText="1"/>
    </xf>
    <xf numFmtId="177" fontId="18" fillId="33" borderId="10" xfId="0" applyNumberFormat="1" applyFont="1" applyFill="1" applyBorder="1" applyAlignment="1">
      <alignment horizontal="right" vertical="center" wrapText="1"/>
    </xf>
    <xf numFmtId="177" fontId="18" fillId="35" borderId="10" xfId="0" applyNumberFormat="1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0" fontId="20" fillId="0" borderId="0" xfId="44" applyAlignment="1">
      <alignment vertical="center"/>
    </xf>
    <xf numFmtId="0" fontId="21" fillId="0" borderId="0" xfId="0" applyFont="1">
      <alignment vertical="center"/>
    </xf>
    <xf numFmtId="178" fontId="21" fillId="0" borderId="0" xfId="1" applyNumberFormat="1" applyFont="1">
      <alignment vertical="center"/>
    </xf>
    <xf numFmtId="9" fontId="21" fillId="0" borderId="0" xfId="2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9" fontId="22" fillId="0" borderId="0" xfId="2" applyFont="1" applyAlignment="1">
      <alignment horizontal="center" vertical="center"/>
    </xf>
    <xf numFmtId="9" fontId="22" fillId="0" borderId="0" xfId="2" applyFont="1">
      <alignment vertical="center"/>
    </xf>
    <xf numFmtId="178" fontId="22" fillId="0" borderId="0" xfId="1" applyNumberFormat="1" applyFont="1" applyAlignment="1">
      <alignment horizontal="center" vertical="center"/>
    </xf>
    <xf numFmtId="9" fontId="21" fillId="0" borderId="0" xfId="0" applyNumberFormat="1" applyFont="1">
      <alignment vertical="center"/>
    </xf>
    <xf numFmtId="49" fontId="18" fillId="34" borderId="10" xfId="0" applyNumberFormat="1" applyFont="1" applyFill="1" applyBorder="1" applyAlignment="1">
      <alignment horizontal="center" vertical="center" wrapText="1"/>
    </xf>
    <xf numFmtId="49" fontId="18" fillId="34" borderId="20" xfId="0" applyNumberFormat="1" applyFont="1" applyFill="1" applyBorder="1" applyAlignment="1">
      <alignment horizontal="center" vertical="center" wrapText="1"/>
    </xf>
    <xf numFmtId="0" fontId="24" fillId="37" borderId="30" xfId="0" applyFont="1" applyFill="1" applyBorder="1" applyAlignment="1">
      <alignment horizontal="center" vertical="center" wrapText="1" readingOrder="1"/>
    </xf>
    <xf numFmtId="0" fontId="24" fillId="37" borderId="31" xfId="0" applyFont="1" applyFill="1" applyBorder="1" applyAlignment="1">
      <alignment horizontal="center" vertical="center" wrapText="1" readingOrder="1"/>
    </xf>
    <xf numFmtId="0" fontId="24" fillId="37" borderId="32" xfId="0" applyFont="1" applyFill="1" applyBorder="1" applyAlignment="1">
      <alignment horizontal="center" vertical="center" wrapText="1" readingOrder="1"/>
    </xf>
    <xf numFmtId="9" fontId="24" fillId="38" borderId="21" xfId="0" applyNumberFormat="1" applyFont="1" applyFill="1" applyBorder="1" applyAlignment="1">
      <alignment horizontal="right" vertical="center" wrapText="1" readingOrder="1"/>
    </xf>
    <xf numFmtId="9" fontId="24" fillId="38" borderId="35" xfId="0" applyNumberFormat="1" applyFont="1" applyFill="1" applyBorder="1" applyAlignment="1">
      <alignment horizontal="right" vertical="center" wrapText="1" readingOrder="1"/>
    </xf>
    <xf numFmtId="9" fontId="24" fillId="38" borderId="24" xfId="0" applyNumberFormat="1" applyFont="1" applyFill="1" applyBorder="1" applyAlignment="1">
      <alignment horizontal="right" vertical="center" wrapText="1" readingOrder="1"/>
    </xf>
    <xf numFmtId="0" fontId="25" fillId="39" borderId="22" xfId="0" applyFont="1" applyFill="1" applyBorder="1" applyAlignment="1">
      <alignment horizontal="center" vertical="center" wrapText="1" readingOrder="1"/>
    </xf>
    <xf numFmtId="0" fontId="25" fillId="39" borderId="25" xfId="0" applyFont="1" applyFill="1" applyBorder="1" applyAlignment="1">
      <alignment horizontal="center" vertical="center" wrapText="1" readingOrder="1"/>
    </xf>
    <xf numFmtId="9" fontId="25" fillId="39" borderId="22" xfId="0" applyNumberFormat="1" applyFont="1" applyFill="1" applyBorder="1" applyAlignment="1">
      <alignment horizontal="right" vertical="center" wrapText="1" readingOrder="1"/>
    </xf>
    <xf numFmtId="9" fontId="25" fillId="39" borderId="36" xfId="0" applyNumberFormat="1" applyFont="1" applyFill="1" applyBorder="1" applyAlignment="1">
      <alignment horizontal="right" vertical="center" wrapText="1" readingOrder="1"/>
    </xf>
    <xf numFmtId="9" fontId="25" fillId="39" borderId="25" xfId="0" applyNumberFormat="1" applyFont="1" applyFill="1" applyBorder="1" applyAlignment="1">
      <alignment horizontal="right" vertical="center" wrapText="1" readingOrder="1"/>
    </xf>
    <xf numFmtId="0" fontId="25" fillId="39" borderId="37" xfId="0" applyFont="1" applyFill="1" applyBorder="1" applyAlignment="1">
      <alignment horizontal="center" vertical="center" wrapText="1" readingOrder="1"/>
    </xf>
    <xf numFmtId="0" fontId="25" fillId="39" borderId="38" xfId="0" applyFont="1" applyFill="1" applyBorder="1" applyAlignment="1">
      <alignment horizontal="center" vertical="center" wrapText="1" readingOrder="1"/>
    </xf>
    <xf numFmtId="9" fontId="25" fillId="39" borderId="37" xfId="0" applyNumberFormat="1" applyFont="1" applyFill="1" applyBorder="1" applyAlignment="1">
      <alignment horizontal="right" vertical="center" wrapText="1" readingOrder="1"/>
    </xf>
    <xf numFmtId="9" fontId="25" fillId="39" borderId="39" xfId="0" applyNumberFormat="1" applyFont="1" applyFill="1" applyBorder="1" applyAlignment="1">
      <alignment horizontal="right" vertical="center" wrapText="1" readingOrder="1"/>
    </xf>
    <xf numFmtId="9" fontId="25" fillId="39" borderId="38" xfId="0" applyNumberFormat="1" applyFont="1" applyFill="1" applyBorder="1" applyAlignment="1">
      <alignment horizontal="right" vertical="center" wrapText="1" readingOrder="1"/>
    </xf>
    <xf numFmtId="0" fontId="25" fillId="39" borderId="23" xfId="0" applyFont="1" applyFill="1" applyBorder="1" applyAlignment="1">
      <alignment horizontal="center" vertical="center" wrapText="1" readingOrder="1"/>
    </xf>
    <xf numFmtId="0" fontId="25" fillId="39" borderId="26" xfId="0" applyFont="1" applyFill="1" applyBorder="1" applyAlignment="1">
      <alignment horizontal="center" vertical="center" wrapText="1" readingOrder="1"/>
    </xf>
    <xf numFmtId="9" fontId="25" fillId="39" borderId="23" xfId="0" applyNumberFormat="1" applyFont="1" applyFill="1" applyBorder="1" applyAlignment="1">
      <alignment horizontal="right" vertical="center" wrapText="1" readingOrder="1"/>
    </xf>
    <xf numFmtId="9" fontId="25" fillId="39" borderId="40" xfId="0" applyNumberFormat="1" applyFont="1" applyFill="1" applyBorder="1" applyAlignment="1">
      <alignment horizontal="right" vertical="center" wrapText="1" readingOrder="1"/>
    </xf>
    <xf numFmtId="9" fontId="25" fillId="39" borderId="26" xfId="0" applyNumberFormat="1" applyFont="1" applyFill="1" applyBorder="1" applyAlignment="1">
      <alignment horizontal="right" vertical="center" wrapText="1" readingOrder="1"/>
    </xf>
    <xf numFmtId="0" fontId="25" fillId="0" borderId="22" xfId="0" applyFont="1" applyBorder="1" applyAlignment="1">
      <alignment horizontal="center" vertical="center" wrapText="1" readingOrder="1"/>
    </xf>
    <xf numFmtId="0" fontId="25" fillId="0" borderId="25" xfId="0" applyFont="1" applyFill="1" applyBorder="1" applyAlignment="1">
      <alignment horizontal="center" vertical="center" wrapText="1" readingOrder="1"/>
    </xf>
    <xf numFmtId="9" fontId="25" fillId="0" borderId="22" xfId="0" applyNumberFormat="1" applyFont="1" applyFill="1" applyBorder="1" applyAlignment="1">
      <alignment horizontal="right" vertical="center" wrapText="1" readingOrder="1"/>
    </xf>
    <xf numFmtId="9" fontId="25" fillId="0" borderId="36" xfId="0" applyNumberFormat="1" applyFont="1" applyFill="1" applyBorder="1" applyAlignment="1">
      <alignment horizontal="right" vertical="center" wrapText="1" readingOrder="1"/>
    </xf>
    <xf numFmtId="9" fontId="25" fillId="0" borderId="25" xfId="0" applyNumberFormat="1" applyFont="1" applyFill="1" applyBorder="1" applyAlignment="1">
      <alignment horizontal="right" vertical="center" wrapText="1" readingOrder="1"/>
    </xf>
    <xf numFmtId="0" fontId="25" fillId="0" borderId="37" xfId="0" applyFont="1" applyBorder="1" applyAlignment="1">
      <alignment horizontal="center" vertical="center" wrapText="1" readingOrder="1"/>
    </xf>
    <xf numFmtId="0" fontId="25" fillId="0" borderId="38" xfId="0" applyFont="1" applyFill="1" applyBorder="1" applyAlignment="1">
      <alignment horizontal="center" vertical="center" wrapText="1" readingOrder="1"/>
    </xf>
    <xf numFmtId="9" fontId="25" fillId="0" borderId="37" xfId="0" applyNumberFormat="1" applyFont="1" applyFill="1" applyBorder="1" applyAlignment="1">
      <alignment horizontal="right" vertical="center" wrapText="1" readingOrder="1"/>
    </xf>
    <xf numFmtId="9" fontId="25" fillId="0" borderId="39" xfId="0" applyNumberFormat="1" applyFont="1" applyFill="1" applyBorder="1" applyAlignment="1">
      <alignment horizontal="right" vertical="center" wrapText="1" readingOrder="1"/>
    </xf>
    <xf numFmtId="9" fontId="25" fillId="0" borderId="38" xfId="0" applyNumberFormat="1" applyFont="1" applyFill="1" applyBorder="1" applyAlignment="1">
      <alignment horizontal="right" vertical="center" wrapText="1" readingOrder="1"/>
    </xf>
    <xf numFmtId="0" fontId="25" fillId="0" borderId="23" xfId="0" applyFont="1" applyBorder="1" applyAlignment="1">
      <alignment horizontal="center" vertical="center" wrapText="1" readingOrder="1"/>
    </xf>
    <xf numFmtId="0" fontId="25" fillId="0" borderId="26" xfId="0" applyFont="1" applyFill="1" applyBorder="1" applyAlignment="1">
      <alignment horizontal="center" vertical="center" wrapText="1" readingOrder="1"/>
    </xf>
    <xf numFmtId="9" fontId="25" fillId="0" borderId="23" xfId="0" applyNumberFormat="1" applyFont="1" applyFill="1" applyBorder="1" applyAlignment="1">
      <alignment horizontal="right" vertical="center" wrapText="1" readingOrder="1"/>
    </xf>
    <xf numFmtId="9" fontId="25" fillId="0" borderId="40" xfId="0" applyNumberFormat="1" applyFont="1" applyFill="1" applyBorder="1" applyAlignment="1">
      <alignment horizontal="right" vertical="center" wrapText="1" readingOrder="1"/>
    </xf>
    <xf numFmtId="9" fontId="25" fillId="0" borderId="26" xfId="0" applyNumberFormat="1" applyFont="1" applyFill="1" applyBorder="1" applyAlignment="1">
      <alignment horizontal="right" vertical="center" wrapText="1" readingOrder="1"/>
    </xf>
    <xf numFmtId="0" fontId="25" fillId="0" borderId="25" xfId="0" applyFont="1" applyBorder="1" applyAlignment="1">
      <alignment horizontal="center" vertical="center" wrapText="1" readingOrder="1"/>
    </xf>
    <xf numFmtId="9" fontId="25" fillId="0" borderId="22" xfId="0" applyNumberFormat="1" applyFont="1" applyBorder="1" applyAlignment="1">
      <alignment horizontal="right" vertical="center" wrapText="1" readingOrder="1"/>
    </xf>
    <xf numFmtId="9" fontId="25" fillId="0" borderId="36" xfId="0" applyNumberFormat="1" applyFont="1" applyBorder="1" applyAlignment="1">
      <alignment horizontal="right" vertical="center" wrapText="1" readingOrder="1"/>
    </xf>
    <xf numFmtId="9" fontId="25" fillId="0" borderId="25" xfId="0" applyNumberFormat="1" applyFont="1" applyBorder="1" applyAlignment="1">
      <alignment horizontal="right" vertical="center" wrapText="1" readingOrder="1"/>
    </xf>
    <xf numFmtId="0" fontId="25" fillId="0" borderId="38" xfId="0" applyFont="1" applyBorder="1" applyAlignment="1">
      <alignment horizontal="center" vertical="center" wrapText="1" readingOrder="1"/>
    </xf>
    <xf numFmtId="9" fontId="25" fillId="0" borderId="37" xfId="0" applyNumberFormat="1" applyFont="1" applyBorder="1" applyAlignment="1">
      <alignment horizontal="right" vertical="center" wrapText="1" readingOrder="1"/>
    </xf>
    <xf numFmtId="9" fontId="25" fillId="0" borderId="39" xfId="0" applyNumberFormat="1" applyFont="1" applyBorder="1" applyAlignment="1">
      <alignment horizontal="right" vertical="center" wrapText="1" readingOrder="1"/>
    </xf>
    <xf numFmtId="9" fontId="25" fillId="0" borderId="38" xfId="0" applyNumberFormat="1" applyFont="1" applyBorder="1" applyAlignment="1">
      <alignment horizontal="right" vertical="center" wrapText="1" readingOrder="1"/>
    </xf>
    <xf numFmtId="0" fontId="25" fillId="0" borderId="26" xfId="0" applyFont="1" applyBorder="1" applyAlignment="1">
      <alignment horizontal="center" vertical="center" wrapText="1" readingOrder="1"/>
    </xf>
    <xf numFmtId="9" fontId="25" fillId="0" borderId="23" xfId="0" applyNumberFormat="1" applyFont="1" applyBorder="1" applyAlignment="1">
      <alignment horizontal="right" vertical="center" wrapText="1" readingOrder="1"/>
    </xf>
    <xf numFmtId="9" fontId="25" fillId="0" borderId="40" xfId="0" applyNumberFormat="1" applyFont="1" applyBorder="1" applyAlignment="1">
      <alignment horizontal="right" vertical="center" wrapText="1" readingOrder="1"/>
    </xf>
    <xf numFmtId="9" fontId="25" fillId="0" borderId="26" xfId="0" applyNumberFormat="1" applyFont="1" applyBorder="1" applyAlignment="1">
      <alignment horizontal="right" vertical="center" wrapText="1" readingOrder="1"/>
    </xf>
    <xf numFmtId="9" fontId="25" fillId="36" borderId="25" xfId="0" applyNumberFormat="1" applyFont="1" applyFill="1" applyBorder="1" applyAlignment="1">
      <alignment horizontal="right" vertical="center" wrapText="1" readingOrder="1"/>
    </xf>
    <xf numFmtId="9" fontId="25" fillId="36" borderId="38" xfId="0" applyNumberFormat="1" applyFont="1" applyFill="1" applyBorder="1" applyAlignment="1">
      <alignment horizontal="right" vertical="center" wrapText="1" readingOrder="1"/>
    </xf>
    <xf numFmtId="9" fontId="25" fillId="36" borderId="26" xfId="0" applyNumberFormat="1" applyFont="1" applyFill="1" applyBorder="1" applyAlignment="1">
      <alignment horizontal="right" vertical="center" wrapText="1" readingOrder="1"/>
    </xf>
    <xf numFmtId="177" fontId="0" fillId="0" borderId="0" xfId="0" applyNumberFormat="1">
      <alignment vertical="center"/>
    </xf>
    <xf numFmtId="49" fontId="26" fillId="34" borderId="0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9" fontId="25" fillId="0" borderId="39" xfId="2" applyFont="1" applyFill="1" applyBorder="1" applyAlignment="1">
      <alignment horizontal="right" vertical="center" wrapText="1" readingOrder="1"/>
    </xf>
    <xf numFmtId="9" fontId="25" fillId="0" borderId="38" xfId="2" applyFont="1" applyBorder="1" applyAlignment="1">
      <alignment horizontal="right" vertical="center" wrapText="1" readingOrder="1"/>
    </xf>
    <xf numFmtId="9" fontId="25" fillId="0" borderId="36" xfId="2" applyFont="1" applyFill="1" applyBorder="1" applyAlignment="1">
      <alignment horizontal="right" vertical="center" wrapText="1" readingOrder="1"/>
    </xf>
    <xf numFmtId="9" fontId="25" fillId="0" borderId="25" xfId="2" applyFont="1" applyFill="1" applyBorder="1" applyAlignment="1">
      <alignment horizontal="right" vertical="center" wrapText="1" readingOrder="1"/>
    </xf>
    <xf numFmtId="9" fontId="25" fillId="0" borderId="38" xfId="2" applyFont="1" applyFill="1" applyBorder="1" applyAlignment="1">
      <alignment horizontal="right" vertical="center" wrapText="1" readingOrder="1"/>
    </xf>
    <xf numFmtId="9" fontId="25" fillId="0" borderId="37" xfId="2" applyFont="1" applyFill="1" applyBorder="1" applyAlignment="1">
      <alignment horizontal="right" vertical="center" wrapText="1" readingOrder="1"/>
    </xf>
    <xf numFmtId="9" fontId="25" fillId="0" borderId="40" xfId="2" applyFont="1" applyFill="1" applyBorder="1" applyAlignment="1">
      <alignment horizontal="right" vertical="center" wrapText="1" readingOrder="1"/>
    </xf>
    <xf numFmtId="9" fontId="25" fillId="0" borderId="26" xfId="2" applyFont="1" applyFill="1" applyBorder="1" applyAlignment="1">
      <alignment horizontal="right" vertical="center" wrapText="1" readingOrder="1"/>
    </xf>
    <xf numFmtId="9" fontId="25" fillId="0" borderId="22" xfId="2" applyFont="1" applyFill="1" applyBorder="1" applyAlignment="1">
      <alignment horizontal="right" vertical="center" wrapText="1" readingOrder="1"/>
    </xf>
    <xf numFmtId="9" fontId="25" fillId="0" borderId="23" xfId="2" applyFont="1" applyFill="1" applyBorder="1" applyAlignment="1">
      <alignment horizontal="right" vertical="center" wrapText="1" readingOrder="1"/>
    </xf>
    <xf numFmtId="9" fontId="25" fillId="0" borderId="22" xfId="2" applyFont="1" applyBorder="1" applyAlignment="1">
      <alignment horizontal="right" vertical="center" wrapText="1" readingOrder="1"/>
    </xf>
    <xf numFmtId="9" fontId="25" fillId="0" borderId="36" xfId="2" applyFont="1" applyBorder="1" applyAlignment="1">
      <alignment horizontal="right" vertical="center" wrapText="1" readingOrder="1"/>
    </xf>
    <xf numFmtId="9" fontId="25" fillId="0" borderId="25" xfId="2" applyFont="1" applyBorder="1" applyAlignment="1">
      <alignment horizontal="right" vertical="center" wrapText="1" readingOrder="1"/>
    </xf>
    <xf numFmtId="9" fontId="25" fillId="0" borderId="37" xfId="2" applyFont="1" applyBorder="1" applyAlignment="1">
      <alignment horizontal="right" vertical="center" wrapText="1" readingOrder="1"/>
    </xf>
    <xf numFmtId="9" fontId="25" fillId="0" borderId="39" xfId="2" applyFont="1" applyBorder="1" applyAlignment="1">
      <alignment horizontal="right" vertical="center" wrapText="1" readingOrder="1"/>
    </xf>
    <xf numFmtId="9" fontId="25" fillId="0" borderId="23" xfId="2" applyFont="1" applyBorder="1" applyAlignment="1">
      <alignment horizontal="right" vertical="center" wrapText="1" readingOrder="1"/>
    </xf>
    <xf numFmtId="9" fontId="25" fillId="0" borderId="40" xfId="2" applyFont="1" applyBorder="1" applyAlignment="1">
      <alignment horizontal="right" vertical="center" wrapText="1" readingOrder="1"/>
    </xf>
    <xf numFmtId="9" fontId="25" fillId="0" borderId="26" xfId="2" applyFont="1" applyBorder="1" applyAlignment="1">
      <alignment horizontal="right" vertical="center" wrapText="1" readingOrder="1"/>
    </xf>
    <xf numFmtId="179" fontId="24" fillId="38" borderId="21" xfId="1" applyNumberFormat="1" applyFont="1" applyFill="1" applyBorder="1" applyAlignment="1">
      <alignment horizontal="right" vertical="center" wrapText="1" readingOrder="1"/>
    </xf>
    <xf numFmtId="179" fontId="24" fillId="38" borderId="35" xfId="1" applyNumberFormat="1" applyFont="1" applyFill="1" applyBorder="1" applyAlignment="1">
      <alignment horizontal="right" vertical="center" wrapText="1" readingOrder="1"/>
    </xf>
    <xf numFmtId="179" fontId="24" fillId="38" borderId="24" xfId="1" applyNumberFormat="1" applyFont="1" applyFill="1" applyBorder="1" applyAlignment="1">
      <alignment horizontal="right" vertical="center" wrapText="1" readingOrder="1"/>
    </xf>
    <xf numFmtId="179" fontId="25" fillId="39" borderId="22" xfId="1" applyNumberFormat="1" applyFont="1" applyFill="1" applyBorder="1" applyAlignment="1">
      <alignment horizontal="right" vertical="center" wrapText="1" readingOrder="1"/>
    </xf>
    <xf numFmtId="179" fontId="25" fillId="39" borderId="36" xfId="1" applyNumberFormat="1" applyFont="1" applyFill="1" applyBorder="1" applyAlignment="1">
      <alignment horizontal="right" vertical="center" wrapText="1" readingOrder="1"/>
    </xf>
    <xf numFmtId="179" fontId="25" fillId="39" borderId="25" xfId="1" applyNumberFormat="1" applyFont="1" applyFill="1" applyBorder="1" applyAlignment="1">
      <alignment horizontal="right" vertical="center" wrapText="1" readingOrder="1"/>
    </xf>
    <xf numFmtId="179" fontId="25" fillId="39" borderId="37" xfId="1" applyNumberFormat="1" applyFont="1" applyFill="1" applyBorder="1" applyAlignment="1">
      <alignment horizontal="right" vertical="center" wrapText="1" readingOrder="1"/>
    </xf>
    <xf numFmtId="179" fontId="25" fillId="39" borderId="39" xfId="1" applyNumberFormat="1" applyFont="1" applyFill="1" applyBorder="1" applyAlignment="1">
      <alignment horizontal="right" vertical="center" wrapText="1" readingOrder="1"/>
    </xf>
    <xf numFmtId="179" fontId="25" fillId="39" borderId="38" xfId="1" applyNumberFormat="1" applyFont="1" applyFill="1" applyBorder="1" applyAlignment="1">
      <alignment horizontal="right" vertical="center" wrapText="1" readingOrder="1"/>
    </xf>
    <xf numFmtId="179" fontId="25" fillId="39" borderId="23" xfId="1" applyNumberFormat="1" applyFont="1" applyFill="1" applyBorder="1" applyAlignment="1">
      <alignment horizontal="right" vertical="center" wrapText="1" readingOrder="1"/>
    </xf>
    <xf numFmtId="179" fontId="25" fillId="39" borderId="40" xfId="1" applyNumberFormat="1" applyFont="1" applyFill="1" applyBorder="1" applyAlignment="1">
      <alignment horizontal="right" vertical="center" wrapText="1" readingOrder="1"/>
    </xf>
    <xf numFmtId="179" fontId="25" fillId="39" borderId="26" xfId="1" applyNumberFormat="1" applyFont="1" applyFill="1" applyBorder="1" applyAlignment="1">
      <alignment horizontal="right" vertical="center" wrapText="1" readingOrder="1"/>
    </xf>
    <xf numFmtId="179" fontId="25" fillId="0" borderId="22" xfId="1" applyNumberFormat="1" applyFont="1" applyFill="1" applyBorder="1" applyAlignment="1">
      <alignment horizontal="right" vertical="center" wrapText="1" readingOrder="1"/>
    </xf>
    <xf numFmtId="179" fontId="25" fillId="0" borderId="36" xfId="1" applyNumberFormat="1" applyFont="1" applyFill="1" applyBorder="1" applyAlignment="1">
      <alignment horizontal="right" vertical="center" wrapText="1" readingOrder="1"/>
    </xf>
    <xf numFmtId="179" fontId="25" fillId="0" borderId="25" xfId="1" applyNumberFormat="1" applyFont="1" applyFill="1" applyBorder="1" applyAlignment="1">
      <alignment horizontal="right" vertical="center" wrapText="1" readingOrder="1"/>
    </xf>
    <xf numFmtId="179" fontId="25" fillId="0" borderId="37" xfId="1" applyNumberFormat="1" applyFont="1" applyFill="1" applyBorder="1" applyAlignment="1">
      <alignment horizontal="right" vertical="center" wrapText="1" readingOrder="1"/>
    </xf>
    <xf numFmtId="179" fontId="25" fillId="0" borderId="39" xfId="1" applyNumberFormat="1" applyFont="1" applyFill="1" applyBorder="1" applyAlignment="1">
      <alignment horizontal="right" vertical="center" wrapText="1" readingOrder="1"/>
    </xf>
    <xf numFmtId="179" fontId="25" fillId="0" borderId="38" xfId="1" applyNumberFormat="1" applyFont="1" applyFill="1" applyBorder="1" applyAlignment="1">
      <alignment horizontal="right" vertical="center" wrapText="1" readingOrder="1"/>
    </xf>
    <xf numFmtId="179" fontId="25" fillId="0" borderId="23" xfId="1" applyNumberFormat="1" applyFont="1" applyFill="1" applyBorder="1" applyAlignment="1">
      <alignment horizontal="right" vertical="center" wrapText="1" readingOrder="1"/>
    </xf>
    <xf numFmtId="179" fontId="25" fillId="0" borderId="40" xfId="1" applyNumberFormat="1" applyFont="1" applyFill="1" applyBorder="1" applyAlignment="1">
      <alignment horizontal="right" vertical="center" wrapText="1" readingOrder="1"/>
    </xf>
    <xf numFmtId="179" fontId="25" fillId="0" borderId="26" xfId="1" applyNumberFormat="1" applyFont="1" applyFill="1" applyBorder="1" applyAlignment="1">
      <alignment horizontal="right" vertical="center" wrapText="1" readingOrder="1"/>
    </xf>
    <xf numFmtId="179" fontId="25" fillId="36" borderId="36" xfId="1" applyNumberFormat="1" applyFont="1" applyFill="1" applyBorder="1" applyAlignment="1">
      <alignment horizontal="right" vertical="center" wrapText="1" readingOrder="1"/>
    </xf>
    <xf numFmtId="179" fontId="25" fillId="36" borderId="39" xfId="1" applyNumberFormat="1" applyFont="1" applyFill="1" applyBorder="1" applyAlignment="1">
      <alignment horizontal="right" vertical="center" wrapText="1" readingOrder="1"/>
    </xf>
    <xf numFmtId="179" fontId="25" fillId="36" borderId="40" xfId="1" applyNumberFormat="1" applyFont="1" applyFill="1" applyBorder="1" applyAlignment="1">
      <alignment horizontal="right" vertical="center" wrapText="1" readingOrder="1"/>
    </xf>
    <xf numFmtId="179" fontId="25" fillId="0" borderId="22" xfId="1" applyNumberFormat="1" applyFont="1" applyBorder="1" applyAlignment="1">
      <alignment horizontal="right" vertical="center" wrapText="1" readingOrder="1"/>
    </xf>
    <xf numFmtId="179" fontId="25" fillId="0" borderId="36" xfId="1" applyNumberFormat="1" applyFont="1" applyBorder="1" applyAlignment="1">
      <alignment horizontal="right" vertical="center" wrapText="1" readingOrder="1"/>
    </xf>
    <xf numFmtId="179" fontId="25" fillId="0" borderId="25" xfId="1" applyNumberFormat="1" applyFont="1" applyBorder="1" applyAlignment="1">
      <alignment horizontal="right" vertical="center" wrapText="1" readingOrder="1"/>
    </xf>
    <xf numFmtId="179" fontId="25" fillId="0" borderId="37" xfId="1" applyNumberFormat="1" applyFont="1" applyBorder="1" applyAlignment="1">
      <alignment horizontal="right" vertical="center" wrapText="1" readingOrder="1"/>
    </xf>
    <xf numFmtId="179" fontId="25" fillId="0" borderId="39" xfId="1" applyNumberFormat="1" applyFont="1" applyBorder="1" applyAlignment="1">
      <alignment horizontal="right" vertical="center" wrapText="1" readingOrder="1"/>
    </xf>
    <xf numFmtId="179" fontId="25" fillId="0" borderId="38" xfId="1" applyNumberFormat="1" applyFont="1" applyBorder="1" applyAlignment="1">
      <alignment horizontal="right" vertical="center" wrapText="1" readingOrder="1"/>
    </xf>
    <xf numFmtId="179" fontId="25" fillId="0" borderId="23" xfId="1" applyNumberFormat="1" applyFont="1" applyBorder="1" applyAlignment="1">
      <alignment horizontal="right" vertical="center" wrapText="1" readingOrder="1"/>
    </xf>
    <xf numFmtId="179" fontId="25" fillId="0" borderId="40" xfId="1" applyNumberFormat="1" applyFont="1" applyBorder="1" applyAlignment="1">
      <alignment horizontal="right" vertical="center" wrapText="1" readingOrder="1"/>
    </xf>
    <xf numFmtId="179" fontId="25" fillId="0" borderId="26" xfId="1" applyNumberFormat="1" applyFont="1" applyBorder="1" applyAlignment="1">
      <alignment horizontal="right" vertical="center" wrapText="1" readingOrder="1"/>
    </xf>
    <xf numFmtId="179" fontId="22" fillId="0" borderId="0" xfId="1" applyNumberFormat="1" applyFont="1" applyAlignment="1">
      <alignment horizontal="center" vertical="center"/>
    </xf>
    <xf numFmtId="179" fontId="21" fillId="0" borderId="0" xfId="1" applyNumberFormat="1" applyFont="1">
      <alignment vertical="center"/>
    </xf>
    <xf numFmtId="49" fontId="18" fillId="34" borderId="0" xfId="0" applyNumberFormat="1" applyFont="1" applyFill="1" applyBorder="1" applyAlignment="1">
      <alignment horizontal="center" vertical="center" wrapText="1"/>
    </xf>
    <xf numFmtId="177" fontId="18" fillId="33" borderId="0" xfId="0" applyNumberFormat="1" applyFont="1" applyFill="1" applyBorder="1" applyAlignment="1">
      <alignment horizontal="right" vertical="center" wrapText="1"/>
    </xf>
    <xf numFmtId="177" fontId="18" fillId="35" borderId="0" xfId="0" applyNumberFormat="1" applyFont="1" applyFill="1" applyBorder="1" applyAlignment="1">
      <alignment horizontal="right" vertical="center" wrapText="1"/>
    </xf>
    <xf numFmtId="0" fontId="18" fillId="33" borderId="0" xfId="0" applyFont="1" applyFill="1" applyBorder="1" applyAlignment="1">
      <alignment horizontal="right" vertical="center" wrapText="1"/>
    </xf>
    <xf numFmtId="0" fontId="18" fillId="35" borderId="0" xfId="0" applyFont="1" applyFill="1" applyBorder="1" applyAlignment="1">
      <alignment horizontal="right" vertical="center" wrapText="1"/>
    </xf>
    <xf numFmtId="0" fontId="0" fillId="0" borderId="0" xfId="0" applyFill="1">
      <alignment vertical="center"/>
    </xf>
    <xf numFmtId="0" fontId="24" fillId="37" borderId="41" xfId="0" applyFont="1" applyFill="1" applyBorder="1" applyAlignment="1">
      <alignment horizontal="center" vertical="center" wrapText="1" readingOrder="1"/>
    </xf>
    <xf numFmtId="9" fontId="24" fillId="38" borderId="42" xfId="0" applyNumberFormat="1" applyFont="1" applyFill="1" applyBorder="1" applyAlignment="1">
      <alignment horizontal="right" vertical="center" wrapText="1" readingOrder="1"/>
    </xf>
    <xf numFmtId="9" fontId="25" fillId="39" borderId="43" xfId="0" applyNumberFormat="1" applyFont="1" applyFill="1" applyBorder="1" applyAlignment="1">
      <alignment horizontal="right" vertical="center" wrapText="1" readingOrder="1"/>
    </xf>
    <xf numFmtId="9" fontId="25" fillId="39" borderId="44" xfId="0" applyNumberFormat="1" applyFont="1" applyFill="1" applyBorder="1" applyAlignment="1">
      <alignment horizontal="right" vertical="center" wrapText="1" readingOrder="1"/>
    </xf>
    <xf numFmtId="9" fontId="25" fillId="39" borderId="45" xfId="0" applyNumberFormat="1" applyFont="1" applyFill="1" applyBorder="1" applyAlignment="1">
      <alignment horizontal="right" vertical="center" wrapText="1" readingOrder="1"/>
    </xf>
    <xf numFmtId="9" fontId="25" fillId="0" borderId="43" xfId="0" applyNumberFormat="1" applyFont="1" applyFill="1" applyBorder="1" applyAlignment="1">
      <alignment horizontal="right" vertical="center" wrapText="1" readingOrder="1"/>
    </xf>
    <xf numFmtId="9" fontId="25" fillId="0" borderId="44" xfId="0" applyNumberFormat="1" applyFont="1" applyFill="1" applyBorder="1" applyAlignment="1">
      <alignment horizontal="right" vertical="center" wrapText="1" readingOrder="1"/>
    </xf>
    <xf numFmtId="9" fontId="25" fillId="0" borderId="45" xfId="0" applyNumberFormat="1" applyFont="1" applyFill="1" applyBorder="1" applyAlignment="1">
      <alignment horizontal="right" vertical="center" wrapText="1" readingOrder="1"/>
    </xf>
    <xf numFmtId="9" fontId="25" fillId="0" borderId="43" xfId="0" applyNumberFormat="1" applyFont="1" applyBorder="1" applyAlignment="1">
      <alignment horizontal="right" vertical="center" wrapText="1" readingOrder="1"/>
    </xf>
    <xf numFmtId="9" fontId="25" fillId="0" borderId="44" xfId="0" applyNumberFormat="1" applyFont="1" applyBorder="1" applyAlignment="1">
      <alignment horizontal="right" vertical="center" wrapText="1" readingOrder="1"/>
    </xf>
    <xf numFmtId="9" fontId="25" fillId="0" borderId="45" xfId="0" applyNumberFormat="1" applyFont="1" applyBorder="1" applyAlignment="1">
      <alignment horizontal="right" vertical="center" wrapText="1" readingOrder="1"/>
    </xf>
    <xf numFmtId="9" fontId="25" fillId="0" borderId="43" xfId="2" applyFont="1" applyFill="1" applyBorder="1" applyAlignment="1">
      <alignment horizontal="right" vertical="center" wrapText="1" readingOrder="1"/>
    </xf>
    <xf numFmtId="9" fontId="25" fillId="0" borderId="44" xfId="2" applyFont="1" applyFill="1" applyBorder="1" applyAlignment="1">
      <alignment horizontal="right" vertical="center" wrapText="1" readingOrder="1"/>
    </xf>
    <xf numFmtId="9" fontId="25" fillId="0" borderId="45" xfId="2" applyFont="1" applyFill="1" applyBorder="1" applyAlignment="1">
      <alignment horizontal="right" vertical="center" wrapText="1" readingOrder="1"/>
    </xf>
    <xf numFmtId="9" fontId="25" fillId="0" borderId="43" xfId="2" applyFont="1" applyBorder="1" applyAlignment="1">
      <alignment horizontal="right" vertical="center" wrapText="1" readingOrder="1"/>
    </xf>
    <xf numFmtId="9" fontId="25" fillId="0" borderId="44" xfId="2" applyFont="1" applyBorder="1" applyAlignment="1">
      <alignment horizontal="right" vertical="center" wrapText="1" readingOrder="1"/>
    </xf>
    <xf numFmtId="9" fontId="25" fillId="0" borderId="45" xfId="2" applyFont="1" applyBorder="1" applyAlignment="1">
      <alignment horizontal="right" vertical="center" wrapText="1" readingOrder="1"/>
    </xf>
    <xf numFmtId="0" fontId="24" fillId="38" borderId="48" xfId="0" applyFont="1" applyFill="1" applyBorder="1" applyAlignment="1">
      <alignment horizontal="center" vertical="center" wrapText="1" readingOrder="1"/>
    </xf>
    <xf numFmtId="0" fontId="25" fillId="39" borderId="46" xfId="0" applyFont="1" applyFill="1" applyBorder="1" applyAlignment="1">
      <alignment horizontal="center" vertical="center" wrapText="1" readingOrder="1"/>
    </xf>
    <xf numFmtId="0" fontId="25" fillId="39" borderId="0" xfId="0" applyFont="1" applyFill="1" applyBorder="1" applyAlignment="1">
      <alignment horizontal="center" vertical="center" wrapText="1" readingOrder="1"/>
    </xf>
    <xf numFmtId="0" fontId="25" fillId="39" borderId="47" xfId="0" applyFont="1" applyFill="1" applyBorder="1" applyAlignment="1">
      <alignment horizontal="center" vertical="center" wrapText="1" readingOrder="1"/>
    </xf>
    <xf numFmtId="0" fontId="25" fillId="0" borderId="46" xfId="0" applyFont="1" applyFill="1" applyBorder="1" applyAlignment="1">
      <alignment horizontal="center" vertical="center" wrapText="1" readingOrder="1"/>
    </xf>
    <xf numFmtId="0" fontId="25" fillId="0" borderId="0" xfId="0" applyFont="1" applyFill="1" applyBorder="1" applyAlignment="1">
      <alignment horizontal="center" vertical="center" wrapText="1" readingOrder="1"/>
    </xf>
    <xf numFmtId="0" fontId="25" fillId="0" borderId="46" xfId="0" applyFont="1" applyBorder="1" applyAlignment="1">
      <alignment horizontal="center" vertical="center" wrapText="1" readingOrder="1"/>
    </xf>
    <xf numFmtId="0" fontId="25" fillId="0" borderId="0" xfId="0" applyFont="1" applyBorder="1" applyAlignment="1">
      <alignment horizontal="center" vertical="center" wrapText="1" readingOrder="1"/>
    </xf>
    <xf numFmtId="0" fontId="25" fillId="0" borderId="47" xfId="0" applyFont="1" applyBorder="1" applyAlignment="1">
      <alignment horizontal="center" vertical="center" wrapText="1" readingOrder="1"/>
    </xf>
    <xf numFmtId="39" fontId="28" fillId="0" borderId="51" xfId="46" applyNumberFormat="1">
      <alignment horizontal="right" vertical="center"/>
    </xf>
    <xf numFmtId="0" fontId="27" fillId="40" borderId="50" xfId="45" quotePrefix="1" applyNumberFormat="1" applyBorder="1" applyAlignment="1">
      <alignment vertical="center"/>
    </xf>
    <xf numFmtId="0" fontId="28" fillId="41" borderId="50" xfId="68" quotePrefix="1" applyNumberFormat="1" applyBorder="1" applyAlignment="1">
      <alignment vertical="center"/>
    </xf>
    <xf numFmtId="0" fontId="28" fillId="41" borderId="50" xfId="68" quotePrefix="1" applyNumberFormat="1" applyAlignment="1">
      <alignment vertical="center"/>
    </xf>
    <xf numFmtId="0" fontId="27" fillId="40" borderId="55" xfId="69" quotePrefix="1" applyNumberFormat="1" applyBorder="1" applyAlignment="1">
      <alignment vertical="center"/>
    </xf>
    <xf numFmtId="0" fontId="27" fillId="40" borderId="56" xfId="69" quotePrefix="1" applyNumberFormat="1" applyBorder="1" applyAlignment="1">
      <alignment vertical="center"/>
    </xf>
    <xf numFmtId="181" fontId="28" fillId="0" borderId="51" xfId="46" applyNumberFormat="1">
      <alignment horizontal="right" vertical="center"/>
    </xf>
    <xf numFmtId="181" fontId="27" fillId="0" borderId="49" xfId="47" applyNumberFormat="1">
      <alignment horizontal="right" vertical="center"/>
    </xf>
    <xf numFmtId="181" fontId="27" fillId="0" borderId="55" xfId="47" applyNumberFormat="1" applyBorder="1">
      <alignment horizontal="right" vertical="center"/>
    </xf>
    <xf numFmtId="181" fontId="27" fillId="0" borderId="58" xfId="47" applyNumberFormat="1" applyBorder="1">
      <alignment horizontal="right" vertical="center"/>
    </xf>
    <xf numFmtId="181" fontId="27" fillId="0" borderId="59" xfId="47" applyNumberFormat="1" applyBorder="1">
      <alignment horizontal="right" vertical="center"/>
    </xf>
    <xf numFmtId="0" fontId="27" fillId="40" borderId="59" xfId="69" applyNumberFormat="1" applyBorder="1" applyAlignment="1">
      <alignment vertical="center"/>
    </xf>
    <xf numFmtId="0" fontId="27" fillId="40" borderId="58" xfId="69" quotePrefix="1" applyNumberFormat="1" applyBorder="1" applyAlignment="1">
      <alignment vertical="center"/>
    </xf>
    <xf numFmtId="182" fontId="28" fillId="0" borderId="57" xfId="46" applyNumberFormat="1" applyBorder="1">
      <alignment horizontal="right" vertical="center"/>
    </xf>
    <xf numFmtId="182" fontId="27" fillId="0" borderId="59" xfId="47" applyNumberFormat="1" applyBorder="1">
      <alignment horizontal="right" vertical="center"/>
    </xf>
    <xf numFmtId="0" fontId="27" fillId="40" borderId="61" xfId="69" quotePrefix="1" applyNumberFormat="1" applyBorder="1" applyAlignment="1">
      <alignment vertical="center"/>
    </xf>
    <xf numFmtId="0" fontId="27" fillId="40" borderId="60" xfId="69" quotePrefix="1" applyNumberFormat="1" applyBorder="1" applyAlignment="1">
      <alignment vertical="center"/>
    </xf>
    <xf numFmtId="0" fontId="0" fillId="57" borderId="0" xfId="0" applyFill="1">
      <alignment vertical="center"/>
    </xf>
    <xf numFmtId="0" fontId="22" fillId="0" borderId="0" xfId="0" applyFont="1" applyAlignment="1">
      <alignment horizontal="center" vertical="center"/>
    </xf>
    <xf numFmtId="182" fontId="28" fillId="0" borderId="51" xfId="46" applyNumberFormat="1">
      <alignment horizontal="right" vertical="center"/>
    </xf>
    <xf numFmtId="182" fontId="27" fillId="0" borderId="55" xfId="47" applyNumberFormat="1" applyBorder="1">
      <alignment horizontal="right" vertical="center"/>
    </xf>
    <xf numFmtId="0" fontId="25" fillId="0" borderId="67" xfId="0" applyFont="1" applyBorder="1" applyAlignment="1">
      <alignment horizontal="center" vertical="center" wrapText="1" readingOrder="1"/>
    </xf>
    <xf numFmtId="0" fontId="25" fillId="0" borderId="66" xfId="0" applyFont="1" applyBorder="1" applyAlignment="1">
      <alignment horizontal="center" vertical="center" wrapText="1" readingOrder="1"/>
    </xf>
    <xf numFmtId="0" fontId="25" fillId="0" borderId="37" xfId="0" applyFont="1" applyFill="1" applyBorder="1" applyAlignment="1">
      <alignment horizontal="center" vertical="center" wrapText="1" readingOrder="1"/>
    </xf>
    <xf numFmtId="0" fontId="25" fillId="0" borderId="23" xfId="0" applyFont="1" applyFill="1" applyBorder="1" applyAlignment="1">
      <alignment horizontal="center" vertical="center" wrapText="1" readingOrder="1"/>
    </xf>
    <xf numFmtId="0" fontId="25" fillId="0" borderId="62" xfId="0" applyFont="1" applyBorder="1" applyAlignment="1">
      <alignment horizontal="center" vertical="center" wrapText="1" readingOrder="1"/>
    </xf>
    <xf numFmtId="0" fontId="25" fillId="0" borderId="63" xfId="0" applyFont="1" applyBorder="1" applyAlignment="1">
      <alignment horizontal="center" vertical="center" wrapText="1" readingOrder="1"/>
    </xf>
    <xf numFmtId="0" fontId="24" fillId="37" borderId="27" xfId="0" applyFont="1" applyFill="1" applyBorder="1" applyAlignment="1">
      <alignment horizontal="center" vertical="center" wrapText="1" readingOrder="1"/>
    </xf>
    <xf numFmtId="0" fontId="24" fillId="37" borderId="28" xfId="0" applyFont="1" applyFill="1" applyBorder="1" applyAlignment="1">
      <alignment horizontal="center" vertical="center" wrapText="1" readingOrder="1"/>
    </xf>
    <xf numFmtId="0" fontId="24" fillId="37" borderId="29" xfId="0" applyFont="1" applyFill="1" applyBorder="1" applyAlignment="1">
      <alignment horizontal="center" vertical="center" wrapText="1" readingOrder="1"/>
    </xf>
    <xf numFmtId="0" fontId="24" fillId="38" borderId="33" xfId="0" applyFont="1" applyFill="1" applyBorder="1" applyAlignment="1">
      <alignment horizontal="center" vertical="center" wrapText="1" readingOrder="1"/>
    </xf>
    <xf numFmtId="0" fontId="24" fillId="38" borderId="34" xfId="0" applyFont="1" applyFill="1" applyBorder="1" applyAlignment="1">
      <alignment horizontal="center" vertical="center" wrapText="1" readingOrder="1"/>
    </xf>
    <xf numFmtId="0" fontId="24" fillId="37" borderId="65" xfId="0" applyFont="1" applyFill="1" applyBorder="1" applyAlignment="1">
      <alignment horizontal="center" vertical="center" wrapText="1" readingOrder="1"/>
    </xf>
    <xf numFmtId="0" fontId="24" fillId="37" borderId="66" xfId="0" applyFont="1" applyFill="1" applyBorder="1" applyAlignment="1">
      <alignment horizontal="center" vertical="center" wrapText="1" readingOrder="1"/>
    </xf>
    <xf numFmtId="0" fontId="24" fillId="37" borderId="68" xfId="0" applyFont="1" applyFill="1" applyBorder="1" applyAlignment="1">
      <alignment horizontal="center" vertical="center" wrapText="1" readingOrder="1"/>
    </xf>
    <xf numFmtId="0" fontId="24" fillId="37" borderId="64" xfId="0" applyFont="1" applyFill="1" applyBorder="1" applyAlignment="1">
      <alignment horizontal="center" vertical="center" wrapText="1" readingOrder="1"/>
    </xf>
    <xf numFmtId="0" fontId="24" fillId="37" borderId="69" xfId="0" applyFont="1" applyFill="1" applyBorder="1" applyAlignment="1">
      <alignment horizontal="center" vertical="center" wrapText="1" readingOrder="1"/>
    </xf>
    <xf numFmtId="0" fontId="24" fillId="37" borderId="63" xfId="0" applyFont="1" applyFill="1" applyBorder="1" applyAlignment="1">
      <alignment horizontal="center" vertical="center" wrapText="1" readingOrder="1"/>
    </xf>
    <xf numFmtId="0" fontId="22" fillId="0" borderId="0" xfId="0" applyFont="1" applyAlignment="1">
      <alignment horizontal="center" vertical="center"/>
    </xf>
    <xf numFmtId="49" fontId="0" fillId="34" borderId="13" xfId="0" applyNumberFormat="1" applyFill="1" applyBorder="1" applyAlignment="1">
      <alignment horizontal="left" vertical="center" wrapText="1"/>
    </xf>
    <xf numFmtId="49" fontId="0" fillId="34" borderId="14" xfId="0" applyNumberFormat="1" applyFill="1" applyBorder="1" applyAlignment="1">
      <alignment horizontal="left" vertical="center" wrapText="1"/>
    </xf>
    <xf numFmtId="49" fontId="0" fillId="34" borderId="15" xfId="0" applyNumberFormat="1" applyFill="1" applyBorder="1" applyAlignment="1">
      <alignment horizontal="left" vertical="center" wrapText="1"/>
    </xf>
    <xf numFmtId="49" fontId="0" fillId="34" borderId="17" xfId="0" applyNumberFormat="1" applyFill="1" applyBorder="1" applyAlignment="1">
      <alignment horizontal="left" vertical="center" wrapText="1"/>
    </xf>
    <xf numFmtId="49" fontId="0" fillId="34" borderId="18" xfId="0" applyNumberFormat="1" applyFill="1" applyBorder="1" applyAlignment="1">
      <alignment horizontal="left" vertical="center" wrapText="1"/>
    </xf>
    <xf numFmtId="49" fontId="0" fillId="34" borderId="19" xfId="0" applyNumberFormat="1" applyFill="1" applyBorder="1" applyAlignment="1">
      <alignment horizontal="left" vertical="center" wrapText="1"/>
    </xf>
    <xf numFmtId="49" fontId="18" fillId="34" borderId="11" xfId="0" applyNumberFormat="1" applyFont="1" applyFill="1" applyBorder="1" applyAlignment="1">
      <alignment horizontal="center" vertical="center" wrapText="1"/>
    </xf>
    <xf numFmtId="49" fontId="18" fillId="34" borderId="16" xfId="0" applyNumberFormat="1" applyFont="1" applyFill="1" applyBorder="1" applyAlignment="1">
      <alignment horizontal="center" vertical="center" wrapText="1"/>
    </xf>
    <xf numFmtId="49" fontId="18" fillId="34" borderId="12" xfId="0" applyNumberFormat="1" applyFont="1" applyFill="1" applyBorder="1" applyAlignment="1">
      <alignment horizontal="center" vertical="center" wrapText="1"/>
    </xf>
  </cellXfs>
  <cellStyles count="84">
    <cellStyle name="20% - 着色 1" xfId="21" builtinId="30" customBuiltin="1"/>
    <cellStyle name="20% - 着色 2" xfId="25" builtinId="34" customBuiltin="1"/>
    <cellStyle name="20% - 着色 3" xfId="29" builtinId="38" customBuiltin="1"/>
    <cellStyle name="20% - 着色 4" xfId="33" builtinId="42" customBuiltin="1"/>
    <cellStyle name="20% - 着色 5" xfId="37" builtinId="46" customBuiltin="1"/>
    <cellStyle name="20% - 着色 6" xfId="41" builtinId="50" customBuiltin="1"/>
    <cellStyle name="40% - 着色 1" xfId="22" builtinId="31" customBuiltin="1"/>
    <cellStyle name="40% - 着色 2" xfId="26" builtinId="35" customBuiltin="1"/>
    <cellStyle name="40% - 着色 3" xfId="30" builtinId="39" customBuiltin="1"/>
    <cellStyle name="40% - 着色 4" xfId="34" builtinId="43" customBuiltin="1"/>
    <cellStyle name="40% - 着色 5" xfId="38" builtinId="47" customBuiltin="1"/>
    <cellStyle name="40% - 着色 6" xfId="42" builtinId="51" customBuiltin="1"/>
    <cellStyle name="60% - 着色 1" xfId="23" builtinId="32" customBuiltin="1"/>
    <cellStyle name="60% - 着色 2" xfId="27" builtinId="36" customBuiltin="1"/>
    <cellStyle name="60% - 着色 3" xfId="31" builtinId="40" customBuiltin="1"/>
    <cellStyle name="60% - 着色 4" xfId="35" builtinId="44" customBuiltin="1"/>
    <cellStyle name="60% - 着色 5" xfId="39" builtinId="48" customBuiltin="1"/>
    <cellStyle name="60% - 着色 6" xfId="43" builtinId="52" customBuiltin="1"/>
    <cellStyle name="SAPBorder" xfId="64"/>
    <cellStyle name="SAPDataCell" xfId="46"/>
    <cellStyle name="SAPDataRemoved" xfId="65"/>
    <cellStyle name="SAPDataTotalCell" xfId="47"/>
    <cellStyle name="SAPDimensionCell" xfId="45"/>
    <cellStyle name="SAPEditableDataCell" xfId="49"/>
    <cellStyle name="SAPEditableDataTotalCell" xfId="52"/>
    <cellStyle name="SAPEmphasized" xfId="75"/>
    <cellStyle name="SAPEmphasizedEditableDataCell" xfId="77"/>
    <cellStyle name="SAPEmphasizedEditableDataTotalCell" xfId="78"/>
    <cellStyle name="SAPEmphasizedLockedDataCell" xfId="81"/>
    <cellStyle name="SAPEmphasizedLockedDataTotalCell" xfId="82"/>
    <cellStyle name="SAPEmphasizedReadonlyDataCell" xfId="79"/>
    <cellStyle name="SAPEmphasizedReadonlyDataTotalCell" xfId="80"/>
    <cellStyle name="SAPEmphasizedTotal" xfId="76"/>
    <cellStyle name="SAPError" xfId="66"/>
    <cellStyle name="SAPExceptionLevel1" xfId="55"/>
    <cellStyle name="SAPExceptionLevel2" xfId="56"/>
    <cellStyle name="SAPExceptionLevel3" xfId="57"/>
    <cellStyle name="SAPExceptionLevel4" xfId="58"/>
    <cellStyle name="SAPExceptionLevel5" xfId="59"/>
    <cellStyle name="SAPExceptionLevel6" xfId="60"/>
    <cellStyle name="SAPExceptionLevel7" xfId="61"/>
    <cellStyle name="SAPExceptionLevel8" xfId="62"/>
    <cellStyle name="SAPExceptionLevel9" xfId="63"/>
    <cellStyle name="SAPFormula" xfId="83"/>
    <cellStyle name="SAPGroupingFillCell" xfId="48"/>
    <cellStyle name="SAPHierarchyCell0" xfId="70"/>
    <cellStyle name="SAPHierarchyCell1" xfId="71"/>
    <cellStyle name="SAPHierarchyCell2" xfId="72"/>
    <cellStyle name="SAPHierarchyCell3" xfId="73"/>
    <cellStyle name="SAPHierarchyCell4" xfId="74"/>
    <cellStyle name="SAPLockedDataCell" xfId="51"/>
    <cellStyle name="SAPLockedDataTotalCell" xfId="54"/>
    <cellStyle name="SAPMemberCell" xfId="68"/>
    <cellStyle name="SAPMemberTotalCell" xfId="69"/>
    <cellStyle name="SAPMessageText" xfId="67"/>
    <cellStyle name="SAPReadonlyDataCell" xfId="50"/>
    <cellStyle name="SAPReadonlyDataTotalCell" xfId="53"/>
    <cellStyle name="百分比" xfId="2" builtinId="5"/>
    <cellStyle name="标题" xfId="3" builtinId="15" customBuiltin="1"/>
    <cellStyle name="标题 1" xfId="4" builtinId="16" customBuiltin="1"/>
    <cellStyle name="标题 2" xfId="5" builtinId="17" customBuiltin="1"/>
    <cellStyle name="标题 3" xfId="6" builtinId="18" customBuiltin="1"/>
    <cellStyle name="标题 4" xfId="7" builtinId="19" customBuiltin="1"/>
    <cellStyle name="差" xfId="9" builtinId="27" customBuiltin="1"/>
    <cellStyle name="常规" xfId="0" builtinId="0"/>
    <cellStyle name="超链接" xfId="44" builtinId="8"/>
    <cellStyle name="好" xfId="8" builtinId="26" customBuiltin="1"/>
    <cellStyle name="汇总" xfId="19" builtinId="25" customBuiltin="1"/>
    <cellStyle name="计算" xfId="13" builtinId="22" customBuiltin="1"/>
    <cellStyle name="检查单元格" xfId="15" builtinId="23" customBuiltin="1"/>
    <cellStyle name="解释性文本" xfId="18" builtinId="53" customBuiltin="1"/>
    <cellStyle name="警告文本" xfId="16" builtinId="11" customBuiltin="1"/>
    <cellStyle name="链接单元格" xfId="14" builtinId="24" customBuiltin="1"/>
    <cellStyle name="千位分隔" xfId="1" builtinId="3"/>
    <cellStyle name="适中" xfId="10" builtinId="28" customBuiltin="1"/>
    <cellStyle name="输出" xfId="12" builtinId="21" customBuiltin="1"/>
    <cellStyle name="输入" xfId="11" builtinId="20" customBuiltin="1"/>
    <cellStyle name="着色 1" xfId="20" builtinId="29" customBuiltin="1"/>
    <cellStyle name="着色 2" xfId="24" builtinId="33" customBuiltin="1"/>
    <cellStyle name="着色 3" xfId="28" builtinId="37" customBuiltin="1"/>
    <cellStyle name="着色 4" xfId="32" builtinId="41" customBuiltin="1"/>
    <cellStyle name="着色 5" xfId="36" builtinId="45" customBuiltin="1"/>
    <cellStyle name="着色 6" xfId="40" builtinId="49" customBuiltin="1"/>
    <cellStyle name="注释" xfId="17" builtinId="10" customBuiltin="1"/>
  </cellStyles>
  <dxfs count="25"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customProperty" Target="../customProperty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9" type="noConversion"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29"/>
  <sheetViews>
    <sheetView showGridLines="0" workbookViewId="0">
      <selection activeCell="B2" sqref="B2:X29"/>
    </sheetView>
  </sheetViews>
  <sheetFormatPr defaultRowHeight="16.5" outlineLevelCol="1" x14ac:dyDescent="0.2"/>
  <cols>
    <col min="1" max="1" width="9" style="9"/>
    <col min="2" max="2" width="5.625" style="9" customWidth="1"/>
    <col min="3" max="4" width="12.625" style="9" customWidth="1"/>
    <col min="5" max="7" width="9" style="9" hidden="1" customWidth="1" outlineLevel="1"/>
    <col min="8" max="8" width="9" style="9" collapsed="1"/>
    <col min="9" max="16384" width="9" style="9"/>
  </cols>
  <sheetData>
    <row r="2" spans="2:24" ht="14.25" customHeight="1" x14ac:dyDescent="0.2">
      <c r="B2" s="191" t="s">
        <v>175</v>
      </c>
      <c r="C2" s="193" t="s">
        <v>200</v>
      </c>
      <c r="D2" s="194"/>
      <c r="E2" s="186" t="s">
        <v>176</v>
      </c>
      <c r="F2" s="187"/>
      <c r="G2" s="188"/>
      <c r="H2" s="186" t="s">
        <v>177</v>
      </c>
      <c r="I2" s="187"/>
      <c r="J2" s="188"/>
      <c r="K2" s="186">
        <v>2505</v>
      </c>
      <c r="L2" s="187"/>
      <c r="M2" s="187"/>
      <c r="N2" s="187"/>
      <c r="O2" s="188"/>
      <c r="P2" s="186" t="s">
        <v>178</v>
      </c>
      <c r="Q2" s="187"/>
      <c r="R2" s="187"/>
      <c r="S2" s="187"/>
      <c r="T2" s="187"/>
      <c r="U2" s="188"/>
      <c r="V2" s="186" t="s">
        <v>225</v>
      </c>
      <c r="W2" s="187"/>
      <c r="X2" s="188"/>
    </row>
    <row r="3" spans="2:24" x14ac:dyDescent="0.2">
      <c r="B3" s="192"/>
      <c r="C3" s="20" t="s">
        <v>198</v>
      </c>
      <c r="D3" s="22" t="s">
        <v>199</v>
      </c>
      <c r="E3" s="20">
        <v>2502</v>
      </c>
      <c r="F3" s="21">
        <v>2503</v>
      </c>
      <c r="G3" s="22">
        <v>2504</v>
      </c>
      <c r="H3" s="20">
        <f>E3</f>
        <v>2502</v>
      </c>
      <c r="I3" s="21">
        <f t="shared" ref="I3:J3" si="0">F3</f>
        <v>2503</v>
      </c>
      <c r="J3" s="22">
        <f t="shared" si="0"/>
        <v>2504</v>
      </c>
      <c r="K3" s="20" t="s">
        <v>176</v>
      </c>
      <c r="L3" s="21" t="s">
        <v>179</v>
      </c>
      <c r="M3" s="21" t="s">
        <v>177</v>
      </c>
      <c r="N3" s="21" t="s">
        <v>180</v>
      </c>
      <c r="O3" s="22" t="s">
        <v>181</v>
      </c>
      <c r="P3" s="20" t="s">
        <v>194</v>
      </c>
      <c r="Q3" s="133" t="s">
        <v>37</v>
      </c>
      <c r="R3" s="21" t="s">
        <v>38</v>
      </c>
      <c r="S3" s="21" t="s">
        <v>39</v>
      </c>
      <c r="T3" s="21" t="s">
        <v>40</v>
      </c>
      <c r="U3" s="22" t="s">
        <v>41</v>
      </c>
      <c r="V3" s="20" t="s">
        <v>226</v>
      </c>
      <c r="W3" s="21" t="s">
        <v>227</v>
      </c>
      <c r="X3" s="22" t="s">
        <v>228</v>
      </c>
    </row>
    <row r="4" spans="2:24" ht="14.25" hidden="1" customHeight="1" x14ac:dyDescent="0.2">
      <c r="B4" s="189" t="s">
        <v>4</v>
      </c>
      <c r="C4" s="190"/>
      <c r="D4" s="150"/>
      <c r="E4" s="92">
        <f>基础表!E11</f>
        <v>8751</v>
      </c>
      <c r="F4" s="93">
        <f>基础表!F11</f>
        <v>7730</v>
      </c>
      <c r="G4" s="94">
        <f>基础表!G11</f>
        <v>7418</v>
      </c>
      <c r="H4" s="23">
        <f>基础表!H11</f>
        <v>4.5372050816696913E-4</v>
      </c>
      <c r="I4" s="24">
        <f>基础表!I11</f>
        <v>-4.5276554087126775E-2</v>
      </c>
      <c r="J4" s="25">
        <f>基础表!J11</f>
        <v>-0.12636909669061358</v>
      </c>
      <c r="K4" s="92" t="e">
        <f>基础表!K11</f>
        <v>#REF!</v>
      </c>
      <c r="L4" s="93" t="e">
        <f>基础表!L11</f>
        <v>#REF!</v>
      </c>
      <c r="M4" s="24" t="e">
        <f>基础表!M11</f>
        <v>#REF!</v>
      </c>
      <c r="N4" s="93" t="e">
        <f>基础表!N11</f>
        <v>#REF!</v>
      </c>
      <c r="O4" s="25" t="e">
        <f>基础表!O11</f>
        <v>#REF!</v>
      </c>
      <c r="P4" s="23" t="e">
        <f>基础表!P11</f>
        <v>#REF!</v>
      </c>
      <c r="Q4" s="134" t="e">
        <f>基础表!Q11</f>
        <v>#REF!</v>
      </c>
      <c r="R4" s="24" t="e">
        <f>基础表!R11</f>
        <v>#REF!</v>
      </c>
      <c r="S4" s="24" t="e">
        <f>基础表!S11</f>
        <v>#REF!</v>
      </c>
      <c r="T4" s="24" t="e">
        <f>基础表!T11</f>
        <v>#REF!</v>
      </c>
      <c r="U4" s="25" t="e">
        <f>基础表!U11</f>
        <v>#REF!</v>
      </c>
      <c r="V4" s="92">
        <f>基础表!V11</f>
        <v>0</v>
      </c>
      <c r="W4" s="93">
        <f>基础表!W11</f>
        <v>0</v>
      </c>
      <c r="X4" s="94">
        <f>基础表!X11</f>
        <v>0</v>
      </c>
    </row>
    <row r="5" spans="2:24" ht="14.25" hidden="1" customHeight="1" x14ac:dyDescent="0.2">
      <c r="B5" s="26">
        <v>1</v>
      </c>
      <c r="C5" s="27" t="e">
        <f>VLOOKUP($B5,基础表!$A$5:$U$10,COLUMN(基础表!D1),0)</f>
        <v>#N/A</v>
      </c>
      <c r="D5" s="151"/>
      <c r="E5" s="95" t="e">
        <f>VLOOKUP($B5,基础表!$A$5:$U$10,COLUMN(基础表!E1),0)</f>
        <v>#N/A</v>
      </c>
      <c r="F5" s="96" t="e">
        <f>VLOOKUP($B5,基础表!$A$5:$U$10,COLUMN(基础表!F1),0)</f>
        <v>#N/A</v>
      </c>
      <c r="G5" s="97" t="e">
        <f>VLOOKUP($B5,基础表!$A$5:$U$10,COLUMN(基础表!G1),0)</f>
        <v>#N/A</v>
      </c>
      <c r="H5" s="28" t="e">
        <f>VLOOKUP($B5,基础表!$A$5:$U$10,COLUMN(基础表!H1),0)</f>
        <v>#N/A</v>
      </c>
      <c r="I5" s="29" t="e">
        <f>VLOOKUP($B5,基础表!$A$5:$U$10,COLUMN(基础表!I1),0)</f>
        <v>#N/A</v>
      </c>
      <c r="J5" s="30" t="e">
        <f>VLOOKUP($B5,基础表!$A$5:$U$10,COLUMN(基础表!J1),0)</f>
        <v>#N/A</v>
      </c>
      <c r="K5" s="95" t="e">
        <f>VLOOKUP($B5,基础表!$A$5:$U$10,COLUMN(基础表!K1),0)</f>
        <v>#N/A</v>
      </c>
      <c r="L5" s="113" t="e">
        <f>VLOOKUP($B5,基础表!$A$5:$U$10,COLUMN(基础表!L1),0)</f>
        <v>#N/A</v>
      </c>
      <c r="M5" s="29" t="e">
        <f>VLOOKUP($B5,基础表!$A$5:$U$10,COLUMN(基础表!M1),0)</f>
        <v>#N/A</v>
      </c>
      <c r="N5" s="113" t="e">
        <f>VLOOKUP($B5,基础表!$A$5:$U$10,COLUMN(基础表!N1),0)</f>
        <v>#N/A</v>
      </c>
      <c r="O5" s="30" t="e">
        <f>VLOOKUP($B5,基础表!$A$5:$U$10,COLUMN(基础表!O1),0)</f>
        <v>#N/A</v>
      </c>
      <c r="P5" s="28" t="e">
        <f>VLOOKUP($B5,基础表!$A$5:$U$10,COLUMN(基础表!P1),0)</f>
        <v>#N/A</v>
      </c>
      <c r="Q5" s="135" t="e">
        <f>VLOOKUP($B5,基础表!$A$5:$U$10,COLUMN(基础表!Q1),0)</f>
        <v>#N/A</v>
      </c>
      <c r="R5" s="29" t="e">
        <f>VLOOKUP($B5,基础表!$A$5:$U$10,COLUMN(基础表!R1),0)</f>
        <v>#N/A</v>
      </c>
      <c r="S5" s="29" t="e">
        <f>VLOOKUP($B5,基础表!$A$5:$U$10,COLUMN(基础表!S1),0)</f>
        <v>#N/A</v>
      </c>
      <c r="T5" s="29" t="e">
        <f>VLOOKUP($B5,基础表!$A$5:$U$10,COLUMN(基础表!T1),0)</f>
        <v>#N/A</v>
      </c>
      <c r="U5" s="30" t="e">
        <f>VLOOKUP($B5,基础表!$A$5:$U$10,COLUMN(基础表!U1),0)</f>
        <v>#N/A</v>
      </c>
      <c r="V5" s="95" t="e">
        <f>VLOOKUP($B5,基础表!$A$5:$U$10,COLUMN(基础表!V1),0)</f>
        <v>#N/A</v>
      </c>
      <c r="W5" s="96" t="e">
        <f>VLOOKUP($B5,基础表!$A$5:$U$10,COLUMN(基础表!W1),0)</f>
        <v>#N/A</v>
      </c>
      <c r="X5" s="97" t="e">
        <f>VLOOKUP($B5,基础表!$A$5:$U$10,COLUMN(基础表!X1),0)</f>
        <v>#N/A</v>
      </c>
    </row>
    <row r="6" spans="2:24" hidden="1" x14ac:dyDescent="0.2">
      <c r="B6" s="31">
        <v>2</v>
      </c>
      <c r="C6" s="32" t="e">
        <f>VLOOKUP($B6,基础表!$A$5:$U$10,COLUMN(基础表!D2),0)</f>
        <v>#N/A</v>
      </c>
      <c r="D6" s="152"/>
      <c r="E6" s="98" t="e">
        <f>VLOOKUP($B6,基础表!$A$5:$U$10,COLUMN(基础表!E2),0)</f>
        <v>#N/A</v>
      </c>
      <c r="F6" s="99" t="e">
        <f>VLOOKUP($B6,基础表!$A$5:$U$10,COLUMN(基础表!F2),0)</f>
        <v>#N/A</v>
      </c>
      <c r="G6" s="100" t="e">
        <f>VLOOKUP($B6,基础表!$A$5:$U$10,COLUMN(基础表!G2),0)</f>
        <v>#N/A</v>
      </c>
      <c r="H6" s="33" t="e">
        <f>VLOOKUP($B6,基础表!$A$5:$U$10,COLUMN(基础表!H2),0)</f>
        <v>#N/A</v>
      </c>
      <c r="I6" s="34" t="e">
        <f>VLOOKUP($B6,基础表!$A$5:$U$10,COLUMN(基础表!I2),0)</f>
        <v>#N/A</v>
      </c>
      <c r="J6" s="35" t="e">
        <f>VLOOKUP($B6,基础表!$A$5:$U$10,COLUMN(基础表!J2),0)</f>
        <v>#N/A</v>
      </c>
      <c r="K6" s="98" t="e">
        <f>VLOOKUP($B6,基础表!$A$5:$U$10,COLUMN(基础表!K2),0)</f>
        <v>#N/A</v>
      </c>
      <c r="L6" s="114" t="e">
        <f>VLOOKUP($B6,基础表!$A$5:$U$10,COLUMN(基础表!L2),0)</f>
        <v>#N/A</v>
      </c>
      <c r="M6" s="34" t="e">
        <f>VLOOKUP($B6,基础表!$A$5:$U$10,COLUMN(基础表!M2),0)</f>
        <v>#N/A</v>
      </c>
      <c r="N6" s="114" t="e">
        <f>VLOOKUP($B6,基础表!$A$5:$U$10,COLUMN(基础表!N2),0)</f>
        <v>#N/A</v>
      </c>
      <c r="O6" s="35" t="e">
        <f>VLOOKUP($B6,基础表!$A$5:$U$10,COLUMN(基础表!O2),0)</f>
        <v>#N/A</v>
      </c>
      <c r="P6" s="33" t="e">
        <f>VLOOKUP($B6,基础表!$A$5:$U$10,COLUMN(基础表!P2),0)</f>
        <v>#N/A</v>
      </c>
      <c r="Q6" s="136" t="e">
        <f>VLOOKUP($B6,基础表!$A$5:$U$10,COLUMN(基础表!Q2),0)</f>
        <v>#N/A</v>
      </c>
      <c r="R6" s="34" t="e">
        <f>VLOOKUP($B6,基础表!$A$5:$U$10,COLUMN(基础表!R2),0)</f>
        <v>#N/A</v>
      </c>
      <c r="S6" s="34" t="e">
        <f>VLOOKUP($B6,基础表!$A$5:$U$10,COLUMN(基础表!S2),0)</f>
        <v>#N/A</v>
      </c>
      <c r="T6" s="34" t="e">
        <f>VLOOKUP($B6,基础表!$A$5:$U$10,COLUMN(基础表!T2),0)</f>
        <v>#N/A</v>
      </c>
      <c r="U6" s="35" t="e">
        <f>VLOOKUP($B6,基础表!$A$5:$U$10,COLUMN(基础表!U2),0)</f>
        <v>#N/A</v>
      </c>
      <c r="V6" s="98" t="e">
        <f>VLOOKUP($B6,基础表!$A$5:$U$10,COLUMN(基础表!V2),0)</f>
        <v>#N/A</v>
      </c>
      <c r="W6" s="99" t="e">
        <f>VLOOKUP($B6,基础表!$A$5:$U$10,COLUMN(基础表!W2),0)</f>
        <v>#N/A</v>
      </c>
      <c r="X6" s="100" t="e">
        <f>VLOOKUP($B6,基础表!$A$5:$U$10,COLUMN(基础表!X2),0)</f>
        <v>#N/A</v>
      </c>
    </row>
    <row r="7" spans="2:24" hidden="1" x14ac:dyDescent="0.2">
      <c r="B7" s="31">
        <v>3</v>
      </c>
      <c r="C7" s="32" t="e">
        <f>VLOOKUP($B7,基础表!$A$5:$U$10,COLUMN(基础表!D3),0)</f>
        <v>#N/A</v>
      </c>
      <c r="D7" s="152"/>
      <c r="E7" s="98" t="e">
        <f>VLOOKUP($B7,基础表!$A$5:$U$10,COLUMN(基础表!E3),0)</f>
        <v>#N/A</v>
      </c>
      <c r="F7" s="99" t="e">
        <f>VLOOKUP($B7,基础表!$A$5:$U$10,COLUMN(基础表!F3),0)</f>
        <v>#N/A</v>
      </c>
      <c r="G7" s="100" t="e">
        <f>VLOOKUP($B7,基础表!$A$5:$U$10,COLUMN(基础表!G3),0)</f>
        <v>#N/A</v>
      </c>
      <c r="H7" s="33" t="e">
        <f>VLOOKUP($B7,基础表!$A$5:$U$10,COLUMN(基础表!H3),0)</f>
        <v>#N/A</v>
      </c>
      <c r="I7" s="34" t="e">
        <f>VLOOKUP($B7,基础表!$A$5:$U$10,COLUMN(基础表!I3),0)</f>
        <v>#N/A</v>
      </c>
      <c r="J7" s="35" t="e">
        <f>VLOOKUP($B7,基础表!$A$5:$U$10,COLUMN(基础表!J3),0)</f>
        <v>#N/A</v>
      </c>
      <c r="K7" s="98" t="e">
        <f>VLOOKUP($B7,基础表!$A$5:$U$10,COLUMN(基础表!K3),0)</f>
        <v>#N/A</v>
      </c>
      <c r="L7" s="114" t="e">
        <f>VLOOKUP($B7,基础表!$A$5:$U$10,COLUMN(基础表!L3),0)</f>
        <v>#N/A</v>
      </c>
      <c r="M7" s="34" t="e">
        <f>VLOOKUP($B7,基础表!$A$5:$U$10,COLUMN(基础表!M3),0)</f>
        <v>#N/A</v>
      </c>
      <c r="N7" s="114" t="e">
        <f>VLOOKUP($B7,基础表!$A$5:$U$10,COLUMN(基础表!N3),0)</f>
        <v>#N/A</v>
      </c>
      <c r="O7" s="35" t="e">
        <f>VLOOKUP($B7,基础表!$A$5:$U$10,COLUMN(基础表!O3),0)</f>
        <v>#N/A</v>
      </c>
      <c r="P7" s="33" t="e">
        <f>VLOOKUP($B7,基础表!$A$5:$U$10,COLUMN(基础表!P3),0)</f>
        <v>#N/A</v>
      </c>
      <c r="Q7" s="136" t="e">
        <f>VLOOKUP($B7,基础表!$A$5:$U$10,COLUMN(基础表!Q3),0)</f>
        <v>#N/A</v>
      </c>
      <c r="R7" s="34" t="e">
        <f>VLOOKUP($B7,基础表!$A$5:$U$10,COLUMN(基础表!R3),0)</f>
        <v>#N/A</v>
      </c>
      <c r="S7" s="34" t="e">
        <f>VLOOKUP($B7,基础表!$A$5:$U$10,COLUMN(基础表!S3),0)</f>
        <v>#N/A</v>
      </c>
      <c r="T7" s="34" t="e">
        <f>VLOOKUP($B7,基础表!$A$5:$U$10,COLUMN(基础表!T3),0)</f>
        <v>#N/A</v>
      </c>
      <c r="U7" s="35" t="e">
        <f>VLOOKUP($B7,基础表!$A$5:$U$10,COLUMN(基础表!U3),0)</f>
        <v>#N/A</v>
      </c>
      <c r="V7" s="98" t="e">
        <f>VLOOKUP($B7,基础表!$A$5:$U$10,COLUMN(基础表!V3),0)</f>
        <v>#N/A</v>
      </c>
      <c r="W7" s="99" t="e">
        <f>VLOOKUP($B7,基础表!$A$5:$U$10,COLUMN(基础表!W3),0)</f>
        <v>#N/A</v>
      </c>
      <c r="X7" s="100" t="e">
        <f>VLOOKUP($B7,基础表!$A$5:$U$10,COLUMN(基础表!X3),0)</f>
        <v>#N/A</v>
      </c>
    </row>
    <row r="8" spans="2:24" hidden="1" x14ac:dyDescent="0.2">
      <c r="B8" s="31">
        <v>4</v>
      </c>
      <c r="C8" s="32" t="e">
        <f>VLOOKUP($B8,基础表!$A$5:$U$10,COLUMN(基础表!D4),0)</f>
        <v>#N/A</v>
      </c>
      <c r="D8" s="152"/>
      <c r="E8" s="98" t="e">
        <f>VLOOKUP($B8,基础表!$A$5:$U$10,COLUMN(基础表!E4),0)</f>
        <v>#N/A</v>
      </c>
      <c r="F8" s="99" t="e">
        <f>VLOOKUP($B8,基础表!$A$5:$U$10,COLUMN(基础表!F4),0)</f>
        <v>#N/A</v>
      </c>
      <c r="G8" s="100" t="e">
        <f>VLOOKUP($B8,基础表!$A$5:$U$10,COLUMN(基础表!G4),0)</f>
        <v>#N/A</v>
      </c>
      <c r="H8" s="33" t="e">
        <f>VLOOKUP($B8,基础表!$A$5:$U$10,COLUMN(基础表!H4),0)</f>
        <v>#N/A</v>
      </c>
      <c r="I8" s="34" t="e">
        <f>VLOOKUP($B8,基础表!$A$5:$U$10,COLUMN(基础表!I4),0)</f>
        <v>#N/A</v>
      </c>
      <c r="J8" s="35" t="e">
        <f>VLOOKUP($B8,基础表!$A$5:$U$10,COLUMN(基础表!J4),0)</f>
        <v>#N/A</v>
      </c>
      <c r="K8" s="98" t="e">
        <f>VLOOKUP($B8,基础表!$A$5:$U$10,COLUMN(基础表!K4),0)</f>
        <v>#N/A</v>
      </c>
      <c r="L8" s="114" t="e">
        <f>VLOOKUP($B8,基础表!$A$5:$U$10,COLUMN(基础表!L4),0)</f>
        <v>#N/A</v>
      </c>
      <c r="M8" s="34" t="e">
        <f>VLOOKUP($B8,基础表!$A$5:$U$10,COLUMN(基础表!M4),0)</f>
        <v>#N/A</v>
      </c>
      <c r="N8" s="114" t="e">
        <f>VLOOKUP($B8,基础表!$A$5:$U$10,COLUMN(基础表!N4),0)</f>
        <v>#N/A</v>
      </c>
      <c r="O8" s="35" t="e">
        <f>VLOOKUP($B8,基础表!$A$5:$U$10,COLUMN(基础表!O4),0)</f>
        <v>#N/A</v>
      </c>
      <c r="P8" s="33" t="e">
        <f>VLOOKUP($B8,基础表!$A$5:$U$10,COLUMN(基础表!P4),0)</f>
        <v>#N/A</v>
      </c>
      <c r="Q8" s="136" t="e">
        <f>VLOOKUP($B8,基础表!$A$5:$U$10,COLUMN(基础表!Q4),0)</f>
        <v>#N/A</v>
      </c>
      <c r="R8" s="34" t="e">
        <f>VLOOKUP($B8,基础表!$A$5:$U$10,COLUMN(基础表!R4),0)</f>
        <v>#N/A</v>
      </c>
      <c r="S8" s="34" t="e">
        <f>VLOOKUP($B8,基础表!$A$5:$U$10,COLUMN(基础表!S4),0)</f>
        <v>#N/A</v>
      </c>
      <c r="T8" s="34" t="e">
        <f>VLOOKUP($B8,基础表!$A$5:$U$10,COLUMN(基础表!T4),0)</f>
        <v>#N/A</v>
      </c>
      <c r="U8" s="35" t="e">
        <f>VLOOKUP($B8,基础表!$A$5:$U$10,COLUMN(基础表!U4),0)</f>
        <v>#N/A</v>
      </c>
      <c r="V8" s="98" t="e">
        <f>VLOOKUP($B8,基础表!$A$5:$U$10,COLUMN(基础表!V4),0)</f>
        <v>#N/A</v>
      </c>
      <c r="W8" s="99" t="e">
        <f>VLOOKUP($B8,基础表!$A$5:$U$10,COLUMN(基础表!W4),0)</f>
        <v>#N/A</v>
      </c>
      <c r="X8" s="100" t="e">
        <f>VLOOKUP($B8,基础表!$A$5:$U$10,COLUMN(基础表!X4),0)</f>
        <v>#N/A</v>
      </c>
    </row>
    <row r="9" spans="2:24" hidden="1" x14ac:dyDescent="0.2">
      <c r="B9" s="31">
        <v>5</v>
      </c>
      <c r="C9" s="32" t="e">
        <f>VLOOKUP($B9,基础表!$A$5:$U$10,COLUMN(基础表!D5),0)</f>
        <v>#N/A</v>
      </c>
      <c r="D9" s="152"/>
      <c r="E9" s="98" t="e">
        <f>VLOOKUP($B9,基础表!$A$5:$U$10,COLUMN(基础表!E5),0)</f>
        <v>#N/A</v>
      </c>
      <c r="F9" s="99" t="e">
        <f>VLOOKUP($B9,基础表!$A$5:$U$10,COLUMN(基础表!F5),0)</f>
        <v>#N/A</v>
      </c>
      <c r="G9" s="100" t="e">
        <f>VLOOKUP($B9,基础表!$A$5:$U$10,COLUMN(基础表!G5),0)</f>
        <v>#N/A</v>
      </c>
      <c r="H9" s="33" t="e">
        <f>VLOOKUP($B9,基础表!$A$5:$U$10,COLUMN(基础表!H5),0)</f>
        <v>#N/A</v>
      </c>
      <c r="I9" s="34" t="e">
        <f>VLOOKUP($B9,基础表!$A$5:$U$10,COLUMN(基础表!I5),0)</f>
        <v>#N/A</v>
      </c>
      <c r="J9" s="35" t="e">
        <f>VLOOKUP($B9,基础表!$A$5:$U$10,COLUMN(基础表!J5),0)</f>
        <v>#N/A</v>
      </c>
      <c r="K9" s="98" t="e">
        <f>VLOOKUP($B9,基础表!$A$5:$U$10,COLUMN(基础表!K5),0)</f>
        <v>#N/A</v>
      </c>
      <c r="L9" s="114" t="e">
        <f>VLOOKUP($B9,基础表!$A$5:$U$10,COLUMN(基础表!L5),0)</f>
        <v>#N/A</v>
      </c>
      <c r="M9" s="34" t="e">
        <f>VLOOKUP($B9,基础表!$A$5:$U$10,COLUMN(基础表!M5),0)</f>
        <v>#N/A</v>
      </c>
      <c r="N9" s="114" t="e">
        <f>VLOOKUP($B9,基础表!$A$5:$U$10,COLUMN(基础表!N5),0)</f>
        <v>#N/A</v>
      </c>
      <c r="O9" s="35" t="e">
        <f>VLOOKUP($B9,基础表!$A$5:$U$10,COLUMN(基础表!O5),0)</f>
        <v>#N/A</v>
      </c>
      <c r="P9" s="33" t="e">
        <f>VLOOKUP($B9,基础表!$A$5:$U$10,COLUMN(基础表!P5),0)</f>
        <v>#N/A</v>
      </c>
      <c r="Q9" s="136" t="e">
        <f>VLOOKUP($B9,基础表!$A$5:$U$10,COLUMN(基础表!Q5),0)</f>
        <v>#N/A</v>
      </c>
      <c r="R9" s="34" t="e">
        <f>VLOOKUP($B9,基础表!$A$5:$U$10,COLUMN(基础表!R5),0)</f>
        <v>#N/A</v>
      </c>
      <c r="S9" s="34" t="e">
        <f>VLOOKUP($B9,基础表!$A$5:$U$10,COLUMN(基础表!S5),0)</f>
        <v>#N/A</v>
      </c>
      <c r="T9" s="34" t="e">
        <f>VLOOKUP($B9,基础表!$A$5:$U$10,COLUMN(基础表!T5),0)</f>
        <v>#N/A</v>
      </c>
      <c r="U9" s="35" t="e">
        <f>VLOOKUP($B9,基础表!$A$5:$U$10,COLUMN(基础表!U5),0)</f>
        <v>#N/A</v>
      </c>
      <c r="V9" s="98" t="e">
        <f>VLOOKUP($B9,基础表!$A$5:$U$10,COLUMN(基础表!V5),0)</f>
        <v>#N/A</v>
      </c>
      <c r="W9" s="99" t="e">
        <f>VLOOKUP($B9,基础表!$A$5:$U$10,COLUMN(基础表!W5),0)</f>
        <v>#N/A</v>
      </c>
      <c r="X9" s="100" t="e">
        <f>VLOOKUP($B9,基础表!$A$5:$U$10,COLUMN(基础表!X5),0)</f>
        <v>#N/A</v>
      </c>
    </row>
    <row r="10" spans="2:24" hidden="1" x14ac:dyDescent="0.2">
      <c r="B10" s="36">
        <v>6</v>
      </c>
      <c r="C10" s="37" t="e">
        <f>VLOOKUP($B10,基础表!$A$5:$U$10,COLUMN(基础表!D6),0)</f>
        <v>#N/A</v>
      </c>
      <c r="D10" s="153"/>
      <c r="E10" s="101" t="e">
        <f>VLOOKUP($B10,基础表!$A$5:$U$10,COLUMN(基础表!E6),0)</f>
        <v>#N/A</v>
      </c>
      <c r="F10" s="102" t="e">
        <f>VLOOKUP($B10,基础表!$A$5:$U$10,COLUMN(基础表!F6),0)</f>
        <v>#N/A</v>
      </c>
      <c r="G10" s="103" t="e">
        <f>VLOOKUP($B10,基础表!$A$5:$U$10,COLUMN(基础表!G6),0)</f>
        <v>#N/A</v>
      </c>
      <c r="H10" s="38" t="e">
        <f>VLOOKUP($B10,基础表!$A$5:$U$10,COLUMN(基础表!H6),0)</f>
        <v>#N/A</v>
      </c>
      <c r="I10" s="39" t="e">
        <f>VLOOKUP($B10,基础表!$A$5:$U$10,COLUMN(基础表!I6),0)</f>
        <v>#N/A</v>
      </c>
      <c r="J10" s="40" t="e">
        <f>VLOOKUP($B10,基础表!$A$5:$U$10,COLUMN(基础表!J6),0)</f>
        <v>#N/A</v>
      </c>
      <c r="K10" s="101" t="e">
        <f>VLOOKUP($B10,基础表!$A$5:$U$10,COLUMN(基础表!K6),0)</f>
        <v>#N/A</v>
      </c>
      <c r="L10" s="115" t="e">
        <f>VLOOKUP($B10,基础表!$A$5:$U$10,COLUMN(基础表!L6),0)</f>
        <v>#N/A</v>
      </c>
      <c r="M10" s="39" t="e">
        <f>VLOOKUP($B10,基础表!$A$5:$U$10,COLUMN(基础表!M6),0)</f>
        <v>#N/A</v>
      </c>
      <c r="N10" s="115" t="e">
        <f>VLOOKUP($B10,基础表!$A$5:$U$10,COLUMN(基础表!N6),0)</f>
        <v>#N/A</v>
      </c>
      <c r="O10" s="40" t="e">
        <f>VLOOKUP($B10,基础表!$A$5:$U$10,COLUMN(基础表!O6),0)</f>
        <v>#N/A</v>
      </c>
      <c r="P10" s="38" t="e">
        <f>VLOOKUP($B10,基础表!$A$5:$U$10,COLUMN(基础表!P6),0)</f>
        <v>#N/A</v>
      </c>
      <c r="Q10" s="137" t="e">
        <f>VLOOKUP($B10,基础表!$A$5:$U$10,COLUMN(基础表!Q6),0)</f>
        <v>#N/A</v>
      </c>
      <c r="R10" s="39" t="e">
        <f>VLOOKUP($B10,基础表!$A$5:$U$10,COLUMN(基础表!R6),0)</f>
        <v>#N/A</v>
      </c>
      <c r="S10" s="39" t="e">
        <f>VLOOKUP($B10,基础表!$A$5:$U$10,COLUMN(基础表!S6),0)</f>
        <v>#N/A</v>
      </c>
      <c r="T10" s="39" t="e">
        <f>VLOOKUP($B10,基础表!$A$5:$U$10,COLUMN(基础表!T6),0)</f>
        <v>#N/A</v>
      </c>
      <c r="U10" s="40" t="e">
        <f>VLOOKUP($B10,基础表!$A$5:$U$10,COLUMN(基础表!U6),0)</f>
        <v>#N/A</v>
      </c>
      <c r="V10" s="101" t="e">
        <f>VLOOKUP($B10,基础表!$A$5:$U$10,COLUMN(基础表!V6),0)</f>
        <v>#N/A</v>
      </c>
      <c r="W10" s="102" t="e">
        <f>VLOOKUP($B10,基础表!$A$5:$U$10,COLUMN(基础表!W6),0)</f>
        <v>#N/A</v>
      </c>
      <c r="X10" s="103" t="e">
        <f>VLOOKUP($B10,基础表!$A$5:$U$10,COLUMN(基础表!X6),0)</f>
        <v>#N/A</v>
      </c>
    </row>
    <row r="11" spans="2:24" hidden="1" x14ac:dyDescent="0.2">
      <c r="B11" s="41">
        <v>1</v>
      </c>
      <c r="C11" s="42" t="str">
        <f>VLOOKUP($B11,'4'!$A$6:$AK$24,COLUMN('4'!Z$1),0)</f>
        <v>延寿森茂</v>
      </c>
      <c r="D11" s="154" t="str">
        <f>VLOOKUP(C11,'4'!AL:AM,2,0)</f>
        <v>宾县外埠所</v>
      </c>
      <c r="E11" s="104">
        <f>VLOOKUP($B11,'4'!$A$6:$AK$24,COLUMN('4'!AA$1),0)</f>
        <v>100</v>
      </c>
      <c r="F11" s="105">
        <f>VLOOKUP($B11,'4'!$A$6:$AK$24,COLUMN('4'!AB$1),0)</f>
        <v>187</v>
      </c>
      <c r="G11" s="106">
        <f>VLOOKUP($B11,'4'!$A$6:$AK$24,COLUMN('4'!AC$1),0)</f>
        <v>133</v>
      </c>
      <c r="H11" s="43">
        <f>VLOOKUP($B11,'4'!$A$6:$AK$24,COLUMN('4'!AD$1),0)</f>
        <v>-7.4074074074073959E-2</v>
      </c>
      <c r="I11" s="44">
        <f>VLOOKUP($B11,'4'!$A$6:$AK$24,COLUMN('4'!AE$1),0)</f>
        <v>-0.32246376811594213</v>
      </c>
      <c r="J11" s="45">
        <f>VLOOKUP($B11,'4'!$A$6:$AK$24,COLUMN('4'!AF$1),0)</f>
        <v>0.15652173913043477</v>
      </c>
      <c r="K11" s="104">
        <f>VLOOKUP($B11,'4'!$A$6:$AK$24,COLUMN('4'!AG$1),0)</f>
        <v>250</v>
      </c>
      <c r="L11" s="105">
        <f>VLOOKUP($B11,'4'!$A$6:$AK$24,COLUMN('4'!AH$1),0)</f>
        <v>55</v>
      </c>
      <c r="M11" s="44">
        <f>VLOOKUP($B11,'4'!$A$6:$AK$24,COLUMN('4'!AI$1),0)</f>
        <v>3.5454545454545459</v>
      </c>
      <c r="N11" s="105">
        <f>VLOOKUP($B11,'4'!$A$6:$AK$24,COLUMN('4'!AJ$1),0)</f>
        <v>250</v>
      </c>
      <c r="O11" s="45">
        <f>VLOOKUP($B11,'4'!$A$6:$AK$24,COLUMN('4'!AK$1),0)</f>
        <v>1</v>
      </c>
      <c r="P11" s="43">
        <f>IFERROR(VLOOKUP($C11,Sheet5!$C:$K,COLUMN(Sheet5!D$2)-2,0),"")</f>
        <v>0.97727272727272707</v>
      </c>
      <c r="Q11" s="138">
        <f>IFERROR(VLOOKUP($C11,Sheet5!$C:$K,COLUMN(Sheet5!E$2)-2,0),"")</f>
        <v>0.992307692307692</v>
      </c>
      <c r="R11" s="44">
        <f>IFERROR(VLOOKUP($C11,Sheet5!$C:$K,COLUMN(Sheet5!F$2)-2,0),"")</f>
        <v>1</v>
      </c>
      <c r="S11" s="44">
        <f>IFERROR(VLOOKUP($C11,Sheet5!$C:$K,COLUMN(Sheet5!G$2)-2,0),"")</f>
        <v>1</v>
      </c>
      <c r="T11" s="44">
        <f>IFERROR(VLOOKUP($C11,Sheet5!$C:$K,COLUMN(Sheet5!H$2)-2,0),"")</f>
        <v>1</v>
      </c>
      <c r="U11" s="45">
        <f>IFERROR(VLOOKUP($C11,Sheet5!$C:$K,COLUMN(Sheet5!I$2)-2,0),"")</f>
        <v>1</v>
      </c>
      <c r="V11" s="104" t="e">
        <f>VLOOKUP($B11,'4'!$A$6:$AK$24,COLUMN('4'!AR$1),0)</f>
        <v>#REF!</v>
      </c>
      <c r="W11" s="105" t="e">
        <f>VLOOKUP($B11,'4'!$A$6:$AK$24,COLUMN('4'!AS$1),0)</f>
        <v>#REF!</v>
      </c>
      <c r="X11" s="106" t="e">
        <f>VLOOKUP($B11,'4'!$A$6:$AK$24,COLUMN('4'!AT$1),0)</f>
        <v>#REF!</v>
      </c>
    </row>
    <row r="12" spans="2:24" hidden="1" x14ac:dyDescent="0.2">
      <c r="B12" s="46">
        <v>2</v>
      </c>
      <c r="C12" s="47" t="str">
        <f>VLOOKUP($B12,'4'!$A$6:$AK$24,COLUMN('4'!Z$1),0)</f>
        <v>松北讯楠</v>
      </c>
      <c r="D12" s="155" t="str">
        <f>VLOOKUP(C12,'4'!AL:AM,2,0)</f>
        <v>哈尔滨城区北所</v>
      </c>
      <c r="E12" s="107">
        <f>VLOOKUP($B12,'4'!$A$6:$AK$24,COLUMN('4'!AA$1),0)</f>
        <v>250</v>
      </c>
      <c r="F12" s="108">
        <f>VLOOKUP($B12,'4'!$A$6:$AK$24,COLUMN('4'!AB$1),0)</f>
        <v>770</v>
      </c>
      <c r="G12" s="109">
        <f>VLOOKUP($B12,'4'!$A$6:$AK$24,COLUMN('4'!AC$1),0)</f>
        <v>730</v>
      </c>
      <c r="H12" s="48">
        <f>VLOOKUP($B12,'4'!$A$6:$AK$24,COLUMN('4'!AD$1),0)</f>
        <v>-0.45652173913043481</v>
      </c>
      <c r="I12" s="49">
        <f>VLOOKUP($B12,'4'!$A$6:$AK$24,COLUMN('4'!AE$1),0)</f>
        <v>2.3936170212766061E-2</v>
      </c>
      <c r="J12" s="50">
        <f>VLOOKUP($B12,'4'!$A$6:$AK$24,COLUMN('4'!AF$1),0)</f>
        <v>0.83879093198992427</v>
      </c>
      <c r="K12" s="107">
        <f>VLOOKUP($B12,'4'!$A$6:$AK$24,COLUMN('4'!AG$1),0)</f>
        <v>912.5</v>
      </c>
      <c r="L12" s="108">
        <f>VLOOKUP($B12,'4'!$A$6:$AK$24,COLUMN('4'!AH$1),0)</f>
        <v>680</v>
      </c>
      <c r="M12" s="49">
        <f>VLOOKUP($B12,'4'!$A$6:$AK$24,COLUMN('4'!AI$1),0)</f>
        <v>0.34191176470588225</v>
      </c>
      <c r="N12" s="108">
        <f>VLOOKUP($B12,'4'!$A$6:$AK$24,COLUMN('4'!AJ$1),0)</f>
        <v>912.5</v>
      </c>
      <c r="O12" s="50">
        <f>VLOOKUP($B12,'4'!$A$6:$AK$24,COLUMN('4'!AK$1),0)</f>
        <v>1</v>
      </c>
      <c r="P12" s="48">
        <f>IFERROR(VLOOKUP($C12,Sheet5!$C:$K,COLUMN(Sheet5!D$2)-2,0),"")</f>
        <v>0.82335329341317409</v>
      </c>
      <c r="Q12" s="139">
        <f>IFERROR(VLOOKUP($C12,Sheet5!$C:$K,COLUMN(Sheet5!E$2)-2,0),"")</f>
        <v>0.90605427974947805</v>
      </c>
      <c r="R12" s="49">
        <f>IFERROR(VLOOKUP($C12,Sheet5!$C:$K,COLUMN(Sheet5!F$2)-2,0),"")</f>
        <v>0.85164051355206893</v>
      </c>
      <c r="S12" s="49">
        <f>IFERROR(VLOOKUP($C12,Sheet5!$C:$K,COLUMN(Sheet5!G$2)-2,0),"")</f>
        <v>0.94082840236686394</v>
      </c>
      <c r="T12" s="49">
        <f>IFERROR(VLOOKUP($C12,Sheet5!$C:$K,COLUMN(Sheet5!H$2)-2,0),"")</f>
        <v>0.91823899371069206</v>
      </c>
      <c r="U12" s="50">
        <f>IFERROR(VLOOKUP($C12,Sheet5!$C:$K,COLUMN(Sheet5!I$2)-2,0),"")</f>
        <v>0.9289940828402371</v>
      </c>
      <c r="V12" s="107" t="e">
        <f>VLOOKUP($B12,'4'!$A$6:$AK$24,COLUMN('4'!AR$1),0)</f>
        <v>#REF!</v>
      </c>
      <c r="W12" s="108" t="e">
        <f>VLOOKUP($B12,'4'!$A$6:$AK$24,COLUMN('4'!AS$1),0)</f>
        <v>#REF!</v>
      </c>
      <c r="X12" s="109" t="e">
        <f>VLOOKUP($B12,'4'!$A$6:$AK$24,COLUMN('4'!AT$1),0)</f>
        <v>#REF!</v>
      </c>
    </row>
    <row r="13" spans="2:24" hidden="1" x14ac:dyDescent="0.2">
      <c r="B13" s="46">
        <v>3</v>
      </c>
      <c r="C13" s="47" t="str">
        <f>VLOOKUP($B13,'4'!$A$6:$AK$24,COLUMN('4'!Z$1),0)</f>
        <v>双城宏鑫</v>
      </c>
      <c r="D13" s="155" t="str">
        <f>VLOOKUP(C13,'4'!AL:AM,2,0)</f>
        <v>五常外埠所</v>
      </c>
      <c r="E13" s="107">
        <f>VLOOKUP($B13,'4'!$A$6:$AK$24,COLUMN('4'!AA$1),0)</f>
        <v>300</v>
      </c>
      <c r="F13" s="108">
        <f>VLOOKUP($B13,'4'!$A$6:$AK$24,COLUMN('4'!AB$1),0)</f>
        <v>632</v>
      </c>
      <c r="G13" s="109">
        <f>VLOOKUP($B13,'4'!$A$6:$AK$24,COLUMN('4'!AC$1),0)</f>
        <v>538</v>
      </c>
      <c r="H13" s="48">
        <f>VLOOKUP($B13,'4'!$A$6:$AK$24,COLUMN('4'!AD$1),0)</f>
        <v>-0.4623655913978495</v>
      </c>
      <c r="I13" s="49">
        <f>VLOOKUP($B13,'4'!$A$6:$AK$24,COLUMN('4'!AE$1),0)</f>
        <v>-0.28181818181818186</v>
      </c>
      <c r="J13" s="50">
        <f>VLOOKUP($B13,'4'!$A$6:$AK$24,COLUMN('4'!AF$1),0)</f>
        <v>-0.21915820029027566</v>
      </c>
      <c r="K13" s="107">
        <f>VLOOKUP($B13,'4'!$A$6:$AK$24,COLUMN('4'!AG$1),0)</f>
        <v>718.75</v>
      </c>
      <c r="L13" s="108">
        <f>VLOOKUP($B13,'4'!$A$6:$AK$24,COLUMN('4'!AH$1),0)</f>
        <v>715</v>
      </c>
      <c r="M13" s="49">
        <f>VLOOKUP($B13,'4'!$A$6:$AK$24,COLUMN('4'!AI$1),0)</f>
        <v>5.2447552447552059E-3</v>
      </c>
      <c r="N13" s="108">
        <f>VLOOKUP($B13,'4'!$A$6:$AK$24,COLUMN('4'!AJ$1),0)</f>
        <v>718.75</v>
      </c>
      <c r="O13" s="50">
        <f>VLOOKUP($B13,'4'!$A$6:$AK$24,COLUMN('4'!AK$1),0)</f>
        <v>1</v>
      </c>
      <c r="P13" s="48">
        <f>IFERROR(VLOOKUP($C13,Sheet5!$C:$K,COLUMN(Sheet5!D$2)-2,0),"")</f>
        <v>0.52813852813852802</v>
      </c>
      <c r="Q13" s="139">
        <f>IFERROR(VLOOKUP($C13,Sheet5!$C:$K,COLUMN(Sheet5!E$2)-2,0),"")</f>
        <v>0.10165484633569699</v>
      </c>
      <c r="R13" s="49">
        <f>IFERROR(VLOOKUP($C13,Sheet5!$C:$K,COLUMN(Sheet5!F$2)-2,0),"")</f>
        <v>9.0211132437620009E-2</v>
      </c>
      <c r="S13" s="49">
        <f>IFERROR(VLOOKUP($C13,Sheet5!$C:$K,COLUMN(Sheet5!G$2)-2,0),"")</f>
        <v>0.51351351351351393</v>
      </c>
      <c r="T13" s="49">
        <f>IFERROR(VLOOKUP($C13,Sheet5!$C:$K,COLUMN(Sheet5!H$2)-2,0),"")</f>
        <v>0.125295508274232</v>
      </c>
      <c r="U13" s="50">
        <f>IFERROR(VLOOKUP($C13,Sheet5!$C:$K,COLUMN(Sheet5!I$2)-2,0),"")</f>
        <v>0.43243243243243201</v>
      </c>
      <c r="V13" s="107" t="e">
        <f>VLOOKUP($B13,'4'!$A$6:$AK$24,COLUMN('4'!AR$1),0)</f>
        <v>#REF!</v>
      </c>
      <c r="W13" s="108" t="e">
        <f>VLOOKUP($B13,'4'!$A$6:$AK$24,COLUMN('4'!AS$1),0)</f>
        <v>#REF!</v>
      </c>
      <c r="X13" s="109" t="e">
        <f>VLOOKUP($B13,'4'!$A$6:$AK$24,COLUMN('4'!AT$1),0)</f>
        <v>#REF!</v>
      </c>
    </row>
    <row r="14" spans="2:24" hidden="1" x14ac:dyDescent="0.2">
      <c r="B14" s="46">
        <v>4</v>
      </c>
      <c r="C14" s="47" t="str">
        <f>VLOOKUP($B14,'4'!$A$6:$AK$24,COLUMN('4'!Z$1),0)</f>
        <v>哈市汇双元</v>
      </c>
      <c r="D14" s="155" t="str">
        <f>VLOOKUP(C14,'4'!AL:AM,2,0)</f>
        <v>五常外埠所</v>
      </c>
      <c r="E14" s="107">
        <f>VLOOKUP($B14,'4'!$A$6:$AK$24,COLUMN('4'!AA$1),0)</f>
        <v>402</v>
      </c>
      <c r="F14" s="108">
        <f>VLOOKUP($B14,'4'!$A$6:$AK$24,COLUMN('4'!AB$1),0)</f>
        <v>639</v>
      </c>
      <c r="G14" s="109">
        <f>VLOOKUP($B14,'4'!$A$6:$AK$24,COLUMN('4'!AC$1),0)</f>
        <v>370</v>
      </c>
      <c r="H14" s="48">
        <f>VLOOKUP($B14,'4'!$A$6:$AK$24,COLUMN('4'!AD$1),0)</f>
        <v>-0.27305605786618448</v>
      </c>
      <c r="I14" s="49">
        <f>VLOOKUP($B14,'4'!$A$6:$AK$24,COLUMN('4'!AE$1),0)</f>
        <v>-4.0540540540540571E-2</v>
      </c>
      <c r="J14" s="50">
        <f>VLOOKUP($B14,'4'!$A$6:$AK$24,COLUMN('4'!AF$1),0)</f>
        <v>-0.34397163120567376</v>
      </c>
      <c r="K14" s="107">
        <f>VLOOKUP($B14,'4'!$A$6:$AK$24,COLUMN('4'!AG$1),0)</f>
        <v>613.75</v>
      </c>
      <c r="L14" s="108">
        <f>VLOOKUP($B14,'4'!$A$6:$AK$24,COLUMN('4'!AH$1),0)</f>
        <v>720</v>
      </c>
      <c r="M14" s="49">
        <f>VLOOKUP($B14,'4'!$A$6:$AK$24,COLUMN('4'!AI$1),0)</f>
        <v>-0.14756944444444442</v>
      </c>
      <c r="N14" s="108">
        <f>VLOOKUP($B14,'4'!$A$6:$AK$24,COLUMN('4'!AJ$1),0)</f>
        <v>613.75</v>
      </c>
      <c r="O14" s="50">
        <f>VLOOKUP($B14,'4'!$A$6:$AK$24,COLUMN('4'!AK$1),0)</f>
        <v>1</v>
      </c>
      <c r="P14" s="48">
        <f>IFERROR(VLOOKUP($C14,Sheet5!$C:$K,COLUMN(Sheet5!D$2)-2,0),"")</f>
        <v>0.9672131147540981</v>
      </c>
      <c r="Q14" s="139">
        <f>IFERROR(VLOOKUP($C14,Sheet5!$C:$K,COLUMN(Sheet5!E$2)-2,0),"")</f>
        <v>0.86440677966101698</v>
      </c>
      <c r="R14" s="49">
        <f>IFERROR(VLOOKUP($C14,Sheet5!$C:$K,COLUMN(Sheet5!F$2)-2,0),"")</f>
        <v>0.87378640776699001</v>
      </c>
      <c r="S14" s="49">
        <f>IFERROR(VLOOKUP($C14,Sheet5!$C:$K,COLUMN(Sheet5!G$2)-2,0),"")</f>
        <v>0.9</v>
      </c>
      <c r="T14" s="49">
        <f>IFERROR(VLOOKUP($C14,Sheet5!$C:$K,COLUMN(Sheet5!H$2)-2,0),"")</f>
        <v>0.86382978723404191</v>
      </c>
      <c r="U14" s="50">
        <f>IFERROR(VLOOKUP($C14,Sheet5!$C:$K,COLUMN(Sheet5!I$2)-2,0),"")</f>
        <v>0.98333333333333295</v>
      </c>
      <c r="V14" s="107" t="e">
        <f>VLOOKUP($B14,'4'!$A$6:$AK$24,COLUMN('4'!AR$1),0)</f>
        <v>#REF!</v>
      </c>
      <c r="W14" s="108" t="e">
        <f>VLOOKUP($B14,'4'!$A$6:$AK$24,COLUMN('4'!AS$1),0)</f>
        <v>#REF!</v>
      </c>
      <c r="X14" s="109" t="e">
        <f>VLOOKUP($B14,'4'!$A$6:$AK$24,COLUMN('4'!AT$1),0)</f>
        <v>#REF!</v>
      </c>
    </row>
    <row r="15" spans="2:24" hidden="1" x14ac:dyDescent="0.2">
      <c r="B15" s="46">
        <v>5</v>
      </c>
      <c r="C15" s="47" t="str">
        <f>VLOOKUP($B15,'4'!$A$6:$AK$24,COLUMN('4'!Z$1),0)</f>
        <v>通河佰昌</v>
      </c>
      <c r="D15" s="155" t="str">
        <f>VLOOKUP(C15,'4'!AL:AM,2,0)</f>
        <v>宾县外埠所</v>
      </c>
      <c r="E15" s="107">
        <f>VLOOKUP($B15,'4'!$A$6:$AK$24,COLUMN('4'!AA$1),0)</f>
        <v>128</v>
      </c>
      <c r="F15" s="108">
        <f>VLOOKUP($B15,'4'!$A$6:$AK$24,COLUMN('4'!AB$1),0)</f>
        <v>302</v>
      </c>
      <c r="G15" s="109">
        <f>VLOOKUP($B15,'4'!$A$6:$AK$24,COLUMN('4'!AC$1),0)</f>
        <v>100</v>
      </c>
      <c r="H15" s="48">
        <f>VLOOKUP($B15,'4'!$A$6:$AK$24,COLUMN('4'!AD$1),0)</f>
        <v>-0.32631578947368423</v>
      </c>
      <c r="I15" s="49">
        <f>VLOOKUP($B15,'4'!$A$6:$AK$24,COLUMN('4'!AE$1),0)</f>
        <v>0.10218978102189769</v>
      </c>
      <c r="J15" s="50">
        <f>VLOOKUP($B15,'4'!$A$6:$AK$24,COLUMN('4'!AF$1),0)</f>
        <v>-0.30069930069930062</v>
      </c>
      <c r="K15" s="107">
        <f>VLOOKUP($B15,'4'!$A$6:$AK$24,COLUMN('4'!AG$1),0)</f>
        <v>250</v>
      </c>
      <c r="L15" s="108">
        <f>VLOOKUP($B15,'4'!$A$6:$AK$24,COLUMN('4'!AH$1),0)</f>
        <v>310</v>
      </c>
      <c r="M15" s="49">
        <f>VLOOKUP($B15,'4'!$A$6:$AK$24,COLUMN('4'!AI$1),0)</f>
        <v>-0.19354838709677424</v>
      </c>
      <c r="N15" s="108">
        <f>VLOOKUP($B15,'4'!$A$6:$AK$24,COLUMN('4'!AJ$1),0)</f>
        <v>250</v>
      </c>
      <c r="O15" s="50">
        <f>VLOOKUP($B15,'4'!$A$6:$AK$24,COLUMN('4'!AK$1),0)</f>
        <v>1</v>
      </c>
      <c r="P15" s="48">
        <f>IFERROR(VLOOKUP($C15,Sheet5!$C:$K,COLUMN(Sheet5!D$2)-2,0),"")</f>
        <v>0.97727272727272707</v>
      </c>
      <c r="Q15" s="139">
        <f>IFERROR(VLOOKUP($C15,Sheet5!$C:$K,COLUMN(Sheet5!E$2)-2,0),"")</f>
        <v>0.96460176991150404</v>
      </c>
      <c r="R15" s="49">
        <f>IFERROR(VLOOKUP($C15,Sheet5!$C:$K,COLUMN(Sheet5!F$2)-2,0),"")</f>
        <v>0.98404255319148903</v>
      </c>
      <c r="S15" s="49">
        <f>IFERROR(VLOOKUP($C15,Sheet5!$C:$K,COLUMN(Sheet5!G$2)-2,0),"")</f>
        <v>1</v>
      </c>
      <c r="T15" s="49">
        <f>IFERROR(VLOOKUP($C15,Sheet5!$C:$K,COLUMN(Sheet5!H$2)-2,0),"")</f>
        <v>0.97345132743362794</v>
      </c>
      <c r="U15" s="50">
        <f>IFERROR(VLOOKUP($C15,Sheet5!$C:$K,COLUMN(Sheet5!I$2)-2,0),"")</f>
        <v>1</v>
      </c>
      <c r="V15" s="107" t="e">
        <f>VLOOKUP($B15,'4'!$A$6:$AK$24,COLUMN('4'!AR$1),0)</f>
        <v>#REF!</v>
      </c>
      <c r="W15" s="108" t="e">
        <f>VLOOKUP($B15,'4'!$A$6:$AK$24,COLUMN('4'!AS$1),0)</f>
        <v>#REF!</v>
      </c>
      <c r="X15" s="109" t="e">
        <f>VLOOKUP($B15,'4'!$A$6:$AK$24,COLUMN('4'!AT$1),0)</f>
        <v>#REF!</v>
      </c>
    </row>
    <row r="16" spans="2:24" hidden="1" x14ac:dyDescent="0.2">
      <c r="B16" s="46">
        <v>6</v>
      </c>
      <c r="C16" s="47" t="str">
        <f>VLOOKUP($B16,'4'!$A$6:$AK$24,COLUMN('4'!Z$1),0)</f>
        <v>维合商贸</v>
      </c>
      <c r="D16" s="155" t="str">
        <f>VLOOKUP(C16,'4'!AL:AM,2,0)</f>
        <v>哈尔滨综合中所</v>
      </c>
      <c r="E16" s="107">
        <f>VLOOKUP($B16,'4'!$A$6:$AK$24,COLUMN('4'!AA$1),0)</f>
        <v>470</v>
      </c>
      <c r="F16" s="108">
        <f>VLOOKUP($B16,'4'!$A$6:$AK$24,COLUMN('4'!AB$1),0)</f>
        <v>707</v>
      </c>
      <c r="G16" s="109">
        <f>VLOOKUP($B16,'4'!$A$6:$AK$24,COLUMN('4'!AC$1),0)</f>
        <v>443</v>
      </c>
      <c r="H16" s="48">
        <f>VLOOKUP($B16,'4'!$A$6:$AK$24,COLUMN('4'!AD$1),0)</f>
        <v>-8.0234833659491245E-2</v>
      </c>
      <c r="I16" s="49">
        <f>VLOOKUP($B16,'4'!$A$6:$AK$24,COLUMN('4'!AE$1),0)</f>
        <v>3.0612244897959107E-2</v>
      </c>
      <c r="J16" s="50">
        <f>VLOOKUP($B16,'4'!$A$6:$AK$24,COLUMN('4'!AF$1),0)</f>
        <v>-0.27614379084967322</v>
      </c>
      <c r="K16" s="107">
        <f>VLOOKUP($B16,'4'!$A$6:$AK$24,COLUMN('4'!AG$1),0)</f>
        <v>531.25</v>
      </c>
      <c r="L16" s="108">
        <f>VLOOKUP($B16,'4'!$A$6:$AK$24,COLUMN('4'!AH$1),0)</f>
        <v>698</v>
      </c>
      <c r="M16" s="49">
        <f>VLOOKUP($B16,'4'!$A$6:$AK$24,COLUMN('4'!AI$1),0)</f>
        <v>-0.23889684813753587</v>
      </c>
      <c r="N16" s="108">
        <f>VLOOKUP($B16,'4'!$A$6:$AK$24,COLUMN('4'!AJ$1),0)</f>
        <v>531.25</v>
      </c>
      <c r="O16" s="50">
        <f>VLOOKUP($B16,'4'!$A$6:$AK$24,COLUMN('4'!AK$1),0)</f>
        <v>1</v>
      </c>
      <c r="P16" s="48">
        <f>IFERROR(VLOOKUP($C16,Sheet5!$C:$K,COLUMN(Sheet5!D$2)-2,0),"")</f>
        <v>0.96451612903225792</v>
      </c>
      <c r="Q16" s="139">
        <f>IFERROR(VLOOKUP($C16,Sheet5!$C:$K,COLUMN(Sheet5!E$2)-2,0),"")</f>
        <v>0.95933014354067003</v>
      </c>
      <c r="R16" s="49">
        <f>IFERROR(VLOOKUP($C16,Sheet5!$C:$K,COLUMN(Sheet5!F$2)-2,0),"")</f>
        <v>0.94845360824742297</v>
      </c>
      <c r="S16" s="49">
        <f>IFERROR(VLOOKUP($C16,Sheet5!$C:$K,COLUMN(Sheet5!G$2)-2,0),"")</f>
        <v>0.96153846153846201</v>
      </c>
      <c r="T16" s="49">
        <f>IFERROR(VLOOKUP($C16,Sheet5!$C:$K,COLUMN(Sheet5!H$2)-2,0),"")</f>
        <v>0.97836538461538491</v>
      </c>
      <c r="U16" s="50">
        <f>IFERROR(VLOOKUP($C16,Sheet5!$C:$K,COLUMN(Sheet5!I$2)-2,0),"")</f>
        <v>1</v>
      </c>
      <c r="V16" s="107" t="e">
        <f>VLOOKUP($B16,'4'!$A$6:$AK$24,COLUMN('4'!AR$1),0)</f>
        <v>#REF!</v>
      </c>
      <c r="W16" s="108" t="e">
        <f>VLOOKUP($B16,'4'!$A$6:$AK$24,COLUMN('4'!AS$1),0)</f>
        <v>#REF!</v>
      </c>
      <c r="X16" s="109" t="e">
        <f>VLOOKUP($B16,'4'!$A$6:$AK$24,COLUMN('4'!AT$1),0)</f>
        <v>#REF!</v>
      </c>
    </row>
    <row r="17" spans="2:24" hidden="1" x14ac:dyDescent="0.2">
      <c r="B17" s="46">
        <v>7</v>
      </c>
      <c r="C17" s="47" t="str">
        <f>VLOOKUP($B17,'4'!$A$6:$AK$24,COLUMN('4'!Z$1),0)</f>
        <v>巴彦隆鹏</v>
      </c>
      <c r="D17" s="155" t="str">
        <f>VLOOKUP(C17,'4'!AL:AM,2,0)</f>
        <v>宾县外埠所</v>
      </c>
      <c r="E17" s="107">
        <f>VLOOKUP($B17,'4'!$A$6:$AK$24,COLUMN('4'!AA$1),0)</f>
        <v>100</v>
      </c>
      <c r="F17" s="108">
        <f>VLOOKUP($B17,'4'!$A$6:$AK$24,COLUMN('4'!AB$1),0)</f>
        <v>374</v>
      </c>
      <c r="G17" s="109">
        <f>VLOOKUP($B17,'4'!$A$6:$AK$24,COLUMN('4'!AC$1),0)</f>
        <v>180</v>
      </c>
      <c r="H17" s="48">
        <f>VLOOKUP($B17,'4'!$A$6:$AK$24,COLUMN('4'!AD$1),0)</f>
        <v>-2.9126213592232886E-2</v>
      </c>
      <c r="I17" s="49">
        <f>VLOOKUP($B17,'4'!$A$6:$AK$24,COLUMN('4'!AE$1),0)</f>
        <v>5.6497175141243083E-2</v>
      </c>
      <c r="J17" s="50">
        <f>VLOOKUP($B17,'4'!$A$6:$AK$24,COLUMN('4'!AF$1),0)</f>
        <v>-0.16279069767441867</v>
      </c>
      <c r="K17" s="107">
        <f>VLOOKUP($B17,'4'!$A$6:$AK$24,COLUMN('4'!AG$1),0)</f>
        <v>197.5</v>
      </c>
      <c r="L17" s="108">
        <f>VLOOKUP($B17,'4'!$A$6:$AK$24,COLUMN('4'!AH$1),0)</f>
        <v>262</v>
      </c>
      <c r="M17" s="49">
        <f>VLOOKUP($B17,'4'!$A$6:$AK$24,COLUMN('4'!AI$1),0)</f>
        <v>-0.24618320610687028</v>
      </c>
      <c r="N17" s="108">
        <f>VLOOKUP($B17,'4'!$A$6:$AK$24,COLUMN('4'!AJ$1),0)</f>
        <v>197.5</v>
      </c>
      <c r="O17" s="50">
        <f>VLOOKUP($B17,'4'!$A$6:$AK$24,COLUMN('4'!AK$1),0)</f>
        <v>1</v>
      </c>
      <c r="P17" s="48">
        <f>IFERROR(VLOOKUP($C17,Sheet5!$C:$K,COLUMN(Sheet5!D$2)-2,0),"")</f>
        <v>0.97499999999999998</v>
      </c>
      <c r="Q17" s="139">
        <f>IFERROR(VLOOKUP($C17,Sheet5!$C:$K,COLUMN(Sheet5!E$2)-2,0),"")</f>
        <v>0.95041322314049592</v>
      </c>
      <c r="R17" s="49">
        <f>IFERROR(VLOOKUP($C17,Sheet5!$C:$K,COLUMN(Sheet5!F$2)-2,0),"")</f>
        <v>0.97267759562841505</v>
      </c>
      <c r="S17" s="49">
        <f>IFERROR(VLOOKUP($C17,Sheet5!$C:$K,COLUMN(Sheet5!G$2)-2,0),"")</f>
        <v>1</v>
      </c>
      <c r="T17" s="49">
        <f>IFERROR(VLOOKUP($C17,Sheet5!$C:$K,COLUMN(Sheet5!H$2)-2,0),"")</f>
        <v>0.95867768595041303</v>
      </c>
      <c r="U17" s="50">
        <f>IFERROR(VLOOKUP($C17,Sheet5!$C:$K,COLUMN(Sheet5!I$2)-2,0),"")</f>
        <v>1</v>
      </c>
      <c r="V17" s="107" t="e">
        <f>VLOOKUP($B17,'4'!$A$6:$AK$24,COLUMN('4'!AR$1),0)</f>
        <v>#REF!</v>
      </c>
      <c r="W17" s="108" t="e">
        <f>VLOOKUP($B17,'4'!$A$6:$AK$24,COLUMN('4'!AS$1),0)</f>
        <v>#REF!</v>
      </c>
      <c r="X17" s="109" t="e">
        <f>VLOOKUP($B17,'4'!$A$6:$AK$24,COLUMN('4'!AT$1),0)</f>
        <v>#REF!</v>
      </c>
    </row>
    <row r="18" spans="2:24" hidden="1" x14ac:dyDescent="0.2">
      <c r="B18" s="46">
        <v>8</v>
      </c>
      <c r="C18" s="47" t="str">
        <f>VLOOKUP($B18,'4'!$A$6:$AK$24,COLUMN('4'!Z$1),0)</f>
        <v>洪亮经贸</v>
      </c>
      <c r="D18" s="155" t="str">
        <f>VLOOKUP(C18,'4'!AL:AM,2,0)</f>
        <v>五常外埠所</v>
      </c>
      <c r="E18" s="107">
        <f>VLOOKUP($B18,'4'!$A$6:$AK$24,COLUMN('4'!AA$1),0)</f>
        <v>320</v>
      </c>
      <c r="F18" s="108">
        <f>VLOOKUP($B18,'4'!$A$6:$AK$24,COLUMN('4'!AB$1),0)</f>
        <v>621</v>
      </c>
      <c r="G18" s="109">
        <f>VLOOKUP($B18,'4'!$A$6:$AK$24,COLUMN('4'!AC$1),0)</f>
        <v>292</v>
      </c>
      <c r="H18" s="48">
        <f>VLOOKUP($B18,'4'!$A$6:$AK$24,COLUMN('4'!AD$1),0)</f>
        <v>1.4427480916030535</v>
      </c>
      <c r="I18" s="49">
        <f>VLOOKUP($B18,'4'!$A$6:$AK$24,COLUMN('4'!AE$1),0)</f>
        <v>0.16949152542372881</v>
      </c>
      <c r="J18" s="50">
        <f>VLOOKUP($B18,'4'!$A$6:$AK$24,COLUMN('4'!AF$1),0)</f>
        <v>-0.33333333333333337</v>
      </c>
      <c r="K18" s="107">
        <f>VLOOKUP($B18,'4'!$A$6:$AK$24,COLUMN('4'!AG$1),0)</f>
        <v>343.75</v>
      </c>
      <c r="L18" s="108">
        <f>VLOOKUP($B18,'4'!$A$6:$AK$24,COLUMN('4'!AH$1),0)</f>
        <v>465</v>
      </c>
      <c r="M18" s="49">
        <f>VLOOKUP($B18,'4'!$A$6:$AK$24,COLUMN('4'!AI$1),0)</f>
        <v>-0.260752688172043</v>
      </c>
      <c r="N18" s="108">
        <f>VLOOKUP($B18,'4'!$A$6:$AK$24,COLUMN('4'!AJ$1),0)</f>
        <v>343.75</v>
      </c>
      <c r="O18" s="50">
        <f>VLOOKUP($B18,'4'!$A$6:$AK$24,COLUMN('4'!AK$1),0)</f>
        <v>1</v>
      </c>
      <c r="P18" s="48">
        <f>IFERROR(VLOOKUP($C18,Sheet5!$C:$K,COLUMN(Sheet5!D$2)-2,0),"")</f>
        <v>0.94957983193277296</v>
      </c>
      <c r="Q18" s="139">
        <f>IFERROR(VLOOKUP($C18,Sheet5!$C:$K,COLUMN(Sheet5!E$2)-2,0),"")</f>
        <v>0.107142857142857</v>
      </c>
      <c r="R18" s="49">
        <f>IFERROR(VLOOKUP($C18,Sheet5!$C:$K,COLUMN(Sheet5!F$2)-2,0),"")</f>
        <v>0.11320754716981099</v>
      </c>
      <c r="S18" s="49">
        <f>IFERROR(VLOOKUP($C18,Sheet5!$C:$K,COLUMN(Sheet5!G$2)-2,0),"")</f>
        <v>0.319148936170213</v>
      </c>
      <c r="T18" s="49">
        <f>IFERROR(VLOOKUP($C18,Sheet5!$C:$K,COLUMN(Sheet5!H$2)-2,0),"")</f>
        <v>0.14732142857142899</v>
      </c>
      <c r="U18" s="50">
        <f>IFERROR(VLOOKUP($C18,Sheet5!$C:$K,COLUMN(Sheet5!I$2)-2,0),"")</f>
        <v>0.25531914893616997</v>
      </c>
      <c r="V18" s="107" t="e">
        <f>VLOOKUP($B18,'4'!$A$6:$AK$24,COLUMN('4'!AR$1),0)</f>
        <v>#REF!</v>
      </c>
      <c r="W18" s="108" t="e">
        <f>VLOOKUP($B18,'4'!$A$6:$AK$24,COLUMN('4'!AS$1),0)</f>
        <v>#REF!</v>
      </c>
      <c r="X18" s="109" t="e">
        <f>VLOOKUP($B18,'4'!$A$6:$AK$24,COLUMN('4'!AT$1),0)</f>
        <v>#REF!</v>
      </c>
    </row>
    <row r="19" spans="2:24" hidden="1" x14ac:dyDescent="0.2">
      <c r="B19" s="46">
        <v>9</v>
      </c>
      <c r="C19" s="47" t="str">
        <f>VLOOKUP($B19,'4'!$A$6:$AK$24,COLUMN('4'!Z$1),0)</f>
        <v>五常林浩雪</v>
      </c>
      <c r="D19" s="155" t="str">
        <f>VLOOKUP(C19,'4'!AL:AM,2,0)</f>
        <v>五常外埠所</v>
      </c>
      <c r="E19" s="107">
        <f>VLOOKUP($B19,'4'!$A$6:$AK$24,COLUMN('4'!AA$1),0)</f>
        <v>250</v>
      </c>
      <c r="F19" s="108">
        <f>VLOOKUP($B19,'4'!$A$6:$AK$24,COLUMN('4'!AB$1),0)</f>
        <v>494</v>
      </c>
      <c r="G19" s="109">
        <f>VLOOKUP($B19,'4'!$A$6:$AK$24,COLUMN('4'!AC$1),0)</f>
        <v>250</v>
      </c>
      <c r="H19" s="48">
        <f>VLOOKUP($B19,'4'!$A$6:$AK$24,COLUMN('4'!AD$1),0)</f>
        <v>-0.41860465116279066</v>
      </c>
      <c r="I19" s="49">
        <f>VLOOKUP($B19,'4'!$A$6:$AK$24,COLUMN('4'!AE$1),0)</f>
        <v>-0.35170603674540679</v>
      </c>
      <c r="J19" s="50">
        <f>VLOOKUP($B19,'4'!$A$6:$AK$24,COLUMN('4'!AF$1),0)</f>
        <v>-0.45054945054945061</v>
      </c>
      <c r="K19" s="107">
        <f>VLOOKUP($B19,'4'!$A$6:$AK$24,COLUMN('4'!AG$1),0)</f>
        <v>642.5</v>
      </c>
      <c r="L19" s="108">
        <f>VLOOKUP($B19,'4'!$A$6:$AK$24,COLUMN('4'!AH$1),0)</f>
        <v>887</v>
      </c>
      <c r="M19" s="49">
        <f>VLOOKUP($B19,'4'!$A$6:$AK$24,COLUMN('4'!AI$1),0)</f>
        <v>-0.27564825253664038</v>
      </c>
      <c r="N19" s="108">
        <f>VLOOKUP($B19,'4'!$A$6:$AK$24,COLUMN('4'!AJ$1),0)</f>
        <v>642.5</v>
      </c>
      <c r="O19" s="50">
        <f>VLOOKUP($B19,'4'!$A$6:$AK$24,COLUMN('4'!AK$1),0)</f>
        <v>1</v>
      </c>
      <c r="P19" s="48">
        <f>IFERROR(VLOOKUP($C19,Sheet5!$C:$K,COLUMN(Sheet5!D$2)-2,0),"")</f>
        <v>0.48396501457725899</v>
      </c>
      <c r="Q19" s="139">
        <f>IFERROR(VLOOKUP($C19,Sheet5!$C:$K,COLUMN(Sheet5!E$2)-2,0),"")</f>
        <v>0.28496042216358797</v>
      </c>
      <c r="R19" s="49">
        <f>IFERROR(VLOOKUP($C19,Sheet5!$C:$K,COLUMN(Sheet5!F$2)-2,0),"")</f>
        <v>0.28756058158319897</v>
      </c>
      <c r="S19" s="49">
        <f>IFERROR(VLOOKUP($C19,Sheet5!$C:$K,COLUMN(Sheet5!G$2)-2,0),"")</f>
        <v>0.21276595744680901</v>
      </c>
      <c r="T19" s="49">
        <f>IFERROR(VLOOKUP($C19,Sheet5!$C:$K,COLUMN(Sheet5!H$2)-2,0),"")</f>
        <v>0.32808398950131201</v>
      </c>
      <c r="U19" s="50">
        <f>IFERROR(VLOOKUP($C19,Sheet5!$C:$K,COLUMN(Sheet5!I$2)-2,0),"")</f>
        <v>0.47872340425531901</v>
      </c>
      <c r="V19" s="107" t="e">
        <f>VLOOKUP($B19,'4'!$A$6:$AK$24,COLUMN('4'!AR$1),0)</f>
        <v>#REF!</v>
      </c>
      <c r="W19" s="108" t="e">
        <f>VLOOKUP($B19,'4'!$A$6:$AK$24,COLUMN('4'!AS$1),0)</f>
        <v>#REF!</v>
      </c>
      <c r="X19" s="109" t="e">
        <f>VLOOKUP($B19,'4'!$A$6:$AK$24,COLUMN('4'!AT$1),0)</f>
        <v>#REF!</v>
      </c>
    </row>
    <row r="20" spans="2:24" hidden="1" x14ac:dyDescent="0.2">
      <c r="B20" s="46">
        <v>10</v>
      </c>
      <c r="C20" s="47" t="str">
        <f>VLOOKUP($B20,'4'!$A$6:$AK$24,COLUMN('4'!Z$1),0)</f>
        <v>道里水嘉淼</v>
      </c>
      <c r="D20" s="155" t="str">
        <f>VLOOKUP(C20,'4'!AL:AM,2,0)</f>
        <v>哈尔滨综合西所</v>
      </c>
      <c r="E20" s="107">
        <f>VLOOKUP($B20,'4'!$A$6:$AK$24,COLUMN('4'!AA$1),0)</f>
        <v>302</v>
      </c>
      <c r="F20" s="108">
        <f>VLOOKUP($B20,'4'!$A$6:$AK$24,COLUMN('4'!AB$1),0)</f>
        <v>562</v>
      </c>
      <c r="G20" s="109">
        <f>VLOOKUP($B20,'4'!$A$6:$AK$24,COLUMN('4'!AC$1),0)</f>
        <v>302</v>
      </c>
      <c r="H20" s="48">
        <f>VLOOKUP($B20,'4'!$A$6:$AK$24,COLUMN('4'!AD$1),0)</f>
        <v>-0.31828442437923254</v>
      </c>
      <c r="I20" s="49">
        <f>VLOOKUP($B20,'4'!$A$6:$AK$24,COLUMN('4'!AE$1),0)</f>
        <v>-4.5840407470288502E-2</v>
      </c>
      <c r="J20" s="50">
        <f>VLOOKUP($B20,'4'!$A$6:$AK$24,COLUMN('4'!AF$1),0)</f>
        <v>-0.14689265536723162</v>
      </c>
      <c r="K20" s="107">
        <f>VLOOKUP($B20,'4'!$A$6:$AK$24,COLUMN('4'!AG$1),0)</f>
        <v>457.5</v>
      </c>
      <c r="L20" s="108">
        <f>VLOOKUP($B20,'4'!$A$6:$AK$24,COLUMN('4'!AH$1),0)</f>
        <v>662</v>
      </c>
      <c r="M20" s="49">
        <f>VLOOKUP($B20,'4'!$A$6:$AK$24,COLUMN('4'!AI$1),0)</f>
        <v>-0.30891238670694865</v>
      </c>
      <c r="N20" s="108">
        <f>VLOOKUP($B20,'4'!$A$6:$AK$24,COLUMN('4'!AJ$1),0)</f>
        <v>457.5</v>
      </c>
      <c r="O20" s="50">
        <f>VLOOKUP($B20,'4'!$A$6:$AK$24,COLUMN('4'!AK$1),0)</f>
        <v>1</v>
      </c>
      <c r="P20" s="48">
        <f>IFERROR(VLOOKUP($C20,Sheet5!$C:$K,COLUMN(Sheet5!D$2)-2,0),"")</f>
        <v>0.99047619047619095</v>
      </c>
      <c r="Q20" s="139">
        <f>IFERROR(VLOOKUP($C20,Sheet5!$C:$K,COLUMN(Sheet5!E$2)-2,0),"")</f>
        <v>0.94673123486682798</v>
      </c>
      <c r="R20" s="49">
        <f>IFERROR(VLOOKUP($C20,Sheet5!$C:$K,COLUMN(Sheet5!F$2)-2,0),"")</f>
        <v>0.91198786039453694</v>
      </c>
      <c r="S20" s="49">
        <f>IFERROR(VLOOKUP($C20,Sheet5!$C:$K,COLUMN(Sheet5!G$2)-2,0),"")</f>
        <v>0.95876288659793796</v>
      </c>
      <c r="T20" s="49">
        <f>IFERROR(VLOOKUP($C20,Sheet5!$C:$K,COLUMN(Sheet5!H$2)-2,0),"")</f>
        <v>0.9678217821782179</v>
      </c>
      <c r="U20" s="50">
        <f>IFERROR(VLOOKUP($C20,Sheet5!$C:$K,COLUMN(Sheet5!I$2)-2,0),"")</f>
        <v>1</v>
      </c>
      <c r="V20" s="107" t="e">
        <f>VLOOKUP($B20,'4'!$A$6:$AK$24,COLUMN('4'!AR$1),0)</f>
        <v>#REF!</v>
      </c>
      <c r="W20" s="108" t="e">
        <f>VLOOKUP($B20,'4'!$A$6:$AK$24,COLUMN('4'!AS$1),0)</f>
        <v>#REF!</v>
      </c>
      <c r="X20" s="109" t="e">
        <f>VLOOKUP($B20,'4'!$A$6:$AK$24,COLUMN('4'!AT$1),0)</f>
        <v>#REF!</v>
      </c>
    </row>
    <row r="21" spans="2:24" hidden="1" x14ac:dyDescent="0.2">
      <c r="B21" s="46">
        <v>11</v>
      </c>
      <c r="C21" s="47" t="str">
        <f>VLOOKUP($B21,'4'!$A$6:$AK$24,COLUMN('4'!Z$1),0)</f>
        <v>阿城鑫未来</v>
      </c>
      <c r="D21" s="155" t="str">
        <f>VLOOKUP(C21,'4'!AL:AM,2,0)</f>
        <v>五常外埠所</v>
      </c>
      <c r="E21" s="107">
        <f>VLOOKUP($B21,'4'!$A$6:$AK$24,COLUMN('4'!AA$1),0)</f>
        <v>200</v>
      </c>
      <c r="F21" s="108">
        <f>VLOOKUP($B21,'4'!$A$6:$AK$24,COLUMN('4'!AB$1),0)</f>
        <v>395</v>
      </c>
      <c r="G21" s="109">
        <f>VLOOKUP($B21,'4'!$A$6:$AK$24,COLUMN('4'!AC$1),0)</f>
        <v>286</v>
      </c>
      <c r="H21" s="48">
        <f>VLOOKUP($B21,'4'!$A$6:$AK$24,COLUMN('4'!AD$1),0)</f>
        <v>0.66666666666666674</v>
      </c>
      <c r="I21" s="49">
        <f>VLOOKUP($B21,'4'!$A$6:$AK$24,COLUMN('4'!AE$1),0)</f>
        <v>9.7222222222222321E-2</v>
      </c>
      <c r="J21" s="50">
        <f>VLOOKUP($B21,'4'!$A$6:$AK$24,COLUMN('4'!AF$1),0)</f>
        <v>-0.36444444444444446</v>
      </c>
      <c r="K21" s="107">
        <f>VLOOKUP($B21,'4'!$A$6:$AK$24,COLUMN('4'!AG$1),0)</f>
        <v>337.5</v>
      </c>
      <c r="L21" s="108">
        <f>VLOOKUP($B21,'4'!$A$6:$AK$24,COLUMN('4'!AH$1),0)</f>
        <v>546</v>
      </c>
      <c r="M21" s="49">
        <f>VLOOKUP($B21,'4'!$A$6:$AK$24,COLUMN('4'!AI$1),0)</f>
        <v>-0.38186813186813184</v>
      </c>
      <c r="N21" s="108">
        <f>VLOOKUP($B21,'4'!$A$6:$AK$24,COLUMN('4'!AJ$1),0)</f>
        <v>337.5</v>
      </c>
      <c r="O21" s="50">
        <f>VLOOKUP($B21,'4'!$A$6:$AK$24,COLUMN('4'!AK$1),0)</f>
        <v>1</v>
      </c>
      <c r="P21" s="48">
        <f>IFERROR(VLOOKUP($C21,Sheet5!$C:$K,COLUMN(Sheet5!D$2)-2,0),"")</f>
        <v>0.87892376681614393</v>
      </c>
      <c r="Q21" s="139">
        <f>IFERROR(VLOOKUP($C21,Sheet5!$C:$K,COLUMN(Sheet5!E$2)-2,0),"")</f>
        <v>0.123417721518987</v>
      </c>
      <c r="R21" s="49">
        <f>IFERROR(VLOOKUP($C21,Sheet5!$C:$K,COLUMN(Sheet5!F$2)-2,0),"")</f>
        <v>0.13457556935817799</v>
      </c>
      <c r="S21" s="49">
        <f>IFERROR(VLOOKUP($C21,Sheet5!$C:$K,COLUMN(Sheet5!G$2)-2,0),"")</f>
        <v>0.229885057471264</v>
      </c>
      <c r="T21" s="49">
        <f>IFERROR(VLOOKUP($C21,Sheet5!$C:$K,COLUMN(Sheet5!H$2)-2,0),"")</f>
        <v>0.13968253968253999</v>
      </c>
      <c r="U21" s="50">
        <f>IFERROR(VLOOKUP($C21,Sheet5!$C:$K,COLUMN(Sheet5!I$2)-2,0),"")</f>
        <v>0.195402298850575</v>
      </c>
      <c r="V21" s="107" t="e">
        <f>VLOOKUP($B21,'4'!$A$6:$AK$24,COLUMN('4'!AR$1),0)</f>
        <v>#REF!</v>
      </c>
      <c r="W21" s="108" t="e">
        <f>VLOOKUP($B21,'4'!$A$6:$AK$24,COLUMN('4'!AS$1),0)</f>
        <v>#REF!</v>
      </c>
      <c r="X21" s="109" t="e">
        <f>VLOOKUP($B21,'4'!$A$6:$AK$24,COLUMN('4'!AT$1),0)</f>
        <v>#REF!</v>
      </c>
    </row>
    <row r="22" spans="2:24" hidden="1" x14ac:dyDescent="0.2">
      <c r="B22" s="46">
        <v>12</v>
      </c>
      <c r="C22" s="47" t="str">
        <f>VLOOKUP($B22,'4'!$A$6:$AK$24,COLUMN('4'!Z$1),0)</f>
        <v>方正晓雨</v>
      </c>
      <c r="D22" s="155" t="str">
        <f>VLOOKUP(C22,'4'!AL:AM,2,0)</f>
        <v>宾县外埠所</v>
      </c>
      <c r="E22" s="107">
        <f>VLOOKUP($B22,'4'!$A$6:$AK$24,COLUMN('4'!AA$1),0)</f>
        <v>100</v>
      </c>
      <c r="F22" s="108">
        <f>VLOOKUP($B22,'4'!$A$6:$AK$24,COLUMN('4'!AB$1),0)</f>
        <v>167</v>
      </c>
      <c r="G22" s="109">
        <f>VLOOKUP($B22,'4'!$A$6:$AK$24,COLUMN('4'!AC$1),0)</f>
        <v>169</v>
      </c>
      <c r="H22" s="48">
        <f>VLOOKUP($B22,'4'!$A$6:$AK$24,COLUMN('4'!AD$1),0)</f>
        <v>-0.41176470588235292</v>
      </c>
      <c r="I22" s="49">
        <f>VLOOKUP($B22,'4'!$A$6:$AK$24,COLUMN('4'!AE$1),0)</f>
        <v>-0.36742424242424243</v>
      </c>
      <c r="J22" s="50">
        <f>VLOOKUP($B22,'4'!$A$6:$AK$24,COLUMN('4'!AF$1),0)</f>
        <v>-0.27467811158798283</v>
      </c>
      <c r="K22" s="107">
        <f>VLOOKUP($B22,'4'!$A$6:$AK$24,COLUMN('4'!AG$1),0)</f>
        <v>178.75</v>
      </c>
      <c r="L22" s="108">
        <f>VLOOKUP($B22,'4'!$A$6:$AK$24,COLUMN('4'!AH$1),0)</f>
        <v>297</v>
      </c>
      <c r="M22" s="49">
        <f>VLOOKUP($B22,'4'!$A$6:$AK$24,COLUMN('4'!AI$1),0)</f>
        <v>-0.39814814814814814</v>
      </c>
      <c r="N22" s="108">
        <f>VLOOKUP($B22,'4'!$A$6:$AK$24,COLUMN('4'!AJ$1),0)</f>
        <v>178.75</v>
      </c>
      <c r="O22" s="50">
        <f>VLOOKUP($B22,'4'!$A$6:$AK$24,COLUMN('4'!AK$1),0)</f>
        <v>1</v>
      </c>
      <c r="P22" s="48">
        <f>IFERROR(VLOOKUP($C22,Sheet5!$C:$K,COLUMN(Sheet5!D$2)-2,0),"")</f>
        <v>0.97499999999999998</v>
      </c>
      <c r="Q22" s="139">
        <f>IFERROR(VLOOKUP($C22,Sheet5!$C:$K,COLUMN(Sheet5!E$2)-2,0),"")</f>
        <v>0.98214285714285698</v>
      </c>
      <c r="R22" s="49">
        <f>IFERROR(VLOOKUP($C22,Sheet5!$C:$K,COLUMN(Sheet5!F$2)-2,0),"")</f>
        <v>0.99186991869918695</v>
      </c>
      <c r="S22" s="49">
        <f>IFERROR(VLOOKUP($C22,Sheet5!$C:$K,COLUMN(Sheet5!G$2)-2,0),"")</f>
        <v>1</v>
      </c>
      <c r="T22" s="49">
        <f>IFERROR(VLOOKUP($C22,Sheet5!$C:$K,COLUMN(Sheet5!H$2)-2,0),"")</f>
        <v>1</v>
      </c>
      <c r="U22" s="50">
        <f>IFERROR(VLOOKUP($C22,Sheet5!$C:$K,COLUMN(Sheet5!I$2)-2,0),"")</f>
        <v>1</v>
      </c>
      <c r="V22" s="107" t="e">
        <f>VLOOKUP($B22,'4'!$A$6:$AK$24,COLUMN('4'!AR$1),0)</f>
        <v>#REF!</v>
      </c>
      <c r="W22" s="108" t="e">
        <f>VLOOKUP($B22,'4'!$A$6:$AK$24,COLUMN('4'!AS$1),0)</f>
        <v>#REF!</v>
      </c>
      <c r="X22" s="109" t="e">
        <f>VLOOKUP($B22,'4'!$A$6:$AK$24,COLUMN('4'!AT$1),0)</f>
        <v>#REF!</v>
      </c>
    </row>
    <row r="23" spans="2:24" hidden="1" x14ac:dyDescent="0.2">
      <c r="B23" s="46">
        <v>13</v>
      </c>
      <c r="C23" s="47" t="str">
        <f>VLOOKUP($B23,'4'!$A$6:$AK$24,COLUMN('4'!Z$1),0)</f>
        <v>尚志诺恒</v>
      </c>
      <c r="D23" s="155" t="str">
        <f>VLOOKUP(C23,'4'!AL:AM,2,0)</f>
        <v>宾县外埠所</v>
      </c>
      <c r="E23" s="107">
        <f>VLOOKUP($B23,'4'!$A$6:$AK$24,COLUMN('4'!AA$1),0)</f>
        <v>100</v>
      </c>
      <c r="F23" s="108">
        <f>VLOOKUP($B23,'4'!$A$6:$AK$24,COLUMN('4'!AB$1),0)</f>
        <v>374</v>
      </c>
      <c r="G23" s="109">
        <f>VLOOKUP($B23,'4'!$A$6:$AK$24,COLUMN('4'!AC$1),0)</f>
        <v>115</v>
      </c>
      <c r="H23" s="48">
        <f>VLOOKUP($B23,'4'!$A$6:$AK$24,COLUMN('4'!AD$1),0)</f>
        <v>-0.6</v>
      </c>
      <c r="I23" s="74">
        <f>VLOOKUP($B23,'4'!$A$6:$AK$24,COLUMN('4'!AE$1),0)</f>
        <v>0.7</v>
      </c>
      <c r="J23" s="50">
        <f>VLOOKUP($B23,'4'!$A$6:$AK$24,COLUMN('4'!AF$1),0)</f>
        <v>-0.63492063492063489</v>
      </c>
      <c r="K23" s="107">
        <f>VLOOKUP($B23,'4'!$A$6:$AK$24,COLUMN('4'!AG$1),0)</f>
        <v>215</v>
      </c>
      <c r="L23" s="108">
        <f>VLOOKUP($B23,'4'!$A$6:$AK$24,COLUMN('4'!AH$1),0)</f>
        <v>428</v>
      </c>
      <c r="M23" s="74">
        <f>VLOOKUP($B23,'4'!$A$6:$AK$24,COLUMN('4'!AI$1),0)</f>
        <v>-0.49766355140186913</v>
      </c>
      <c r="N23" s="108">
        <f>VLOOKUP($B23,'4'!$A$6:$AK$24,COLUMN('4'!AJ$1),0)</f>
        <v>215</v>
      </c>
      <c r="O23" s="50">
        <f>VLOOKUP($B23,'4'!$A$6:$AK$24,COLUMN('4'!AK$1),0)</f>
        <v>1</v>
      </c>
      <c r="P23" s="48">
        <f>IFERROR(VLOOKUP($C23,Sheet5!$C:$K,COLUMN(Sheet5!D$2)-2,0),"")</f>
        <v>0.87179487179487192</v>
      </c>
      <c r="Q23" s="139">
        <f>IFERROR(VLOOKUP($C23,Sheet5!$C:$K,COLUMN(Sheet5!E$2)-2,0),"")</f>
        <v>1.9685039370078702E-2</v>
      </c>
      <c r="R23" s="49">
        <f>IFERROR(VLOOKUP($C23,Sheet5!$C:$K,COLUMN(Sheet5!F$2)-2,0),"")</f>
        <v>2.0348837209302299E-2</v>
      </c>
      <c r="S23" s="49">
        <f>IFERROR(VLOOKUP($C23,Sheet5!$C:$K,COLUMN(Sheet5!G$2)-2,0),"")</f>
        <v>7.1428571428571397E-2</v>
      </c>
      <c r="T23" s="49">
        <f>IFERROR(VLOOKUP($C23,Sheet5!$C:$K,COLUMN(Sheet5!H$2)-2,0),"")</f>
        <v>3.9840637450199196E-2</v>
      </c>
      <c r="U23" s="50">
        <f>IFERROR(VLOOKUP($C23,Sheet5!$C:$K,COLUMN(Sheet5!I$2)-2,0),"")</f>
        <v>3.5714285714285698E-2</v>
      </c>
      <c r="V23" s="107" t="e">
        <f>VLOOKUP($B23,'4'!$A$6:$AK$24,COLUMN('4'!AR$1),0)</f>
        <v>#REF!</v>
      </c>
      <c r="W23" s="108" t="e">
        <f>VLOOKUP($B23,'4'!$A$6:$AK$24,COLUMN('4'!AS$1),0)</f>
        <v>#REF!</v>
      </c>
      <c r="X23" s="109" t="e">
        <f>VLOOKUP($B23,'4'!$A$6:$AK$24,COLUMN('4'!AT$1),0)</f>
        <v>#REF!</v>
      </c>
    </row>
    <row r="24" spans="2:24" hidden="1" x14ac:dyDescent="0.2">
      <c r="B24" s="46">
        <v>14</v>
      </c>
      <c r="C24" s="47" t="str">
        <f>VLOOKUP($B24,'4'!$A$6:$AK$24,COLUMN('4'!Z$1),0)</f>
        <v>亚布力鑫卓</v>
      </c>
      <c r="D24" s="155" t="str">
        <f>VLOOKUP(C24,'4'!AL:AM,2,0)</f>
        <v>宾县外埠所</v>
      </c>
      <c r="E24" s="107">
        <f>VLOOKUP($B24,'4'!$A$6:$AK$24,COLUMN('4'!AA$1),0)</f>
        <v>105</v>
      </c>
      <c r="F24" s="108">
        <f>VLOOKUP($B24,'4'!$A$6:$AK$24,COLUMN('4'!AB$1),0)</f>
        <v>187</v>
      </c>
      <c r="G24" s="109">
        <f>VLOOKUP($B24,'4'!$A$6:$AK$24,COLUMN('4'!AC$1),0)</f>
        <v>130</v>
      </c>
      <c r="H24" s="48">
        <f>VLOOKUP($B24,'4'!$A$6:$AK$24,COLUMN('4'!AD$1),0)</f>
        <v>-0.41666666666666663</v>
      </c>
      <c r="I24" s="49">
        <f>VLOOKUP($B24,'4'!$A$6:$AK$24,COLUMN('4'!AE$1),0)</f>
        <v>3.8888888888888973E-2</v>
      </c>
      <c r="J24" s="50">
        <f>VLOOKUP($B24,'4'!$A$6:$AK$24,COLUMN('4'!AF$1),0)</f>
        <v>-0.25287356321839072</v>
      </c>
      <c r="K24" s="107">
        <f>VLOOKUP($B24,'4'!$A$6:$AK$24,COLUMN('4'!AG$1),0)</f>
        <v>148.75</v>
      </c>
      <c r="L24" s="108">
        <f>VLOOKUP($B24,'4'!$A$6:$AK$24,COLUMN('4'!AH$1),0)</f>
        <v>305</v>
      </c>
      <c r="M24" s="49">
        <f>VLOOKUP($B24,'4'!$A$6:$AK$24,COLUMN('4'!AI$1),0)</f>
        <v>-0.51229508196721318</v>
      </c>
      <c r="N24" s="108">
        <f>VLOOKUP($B24,'4'!$A$6:$AK$24,COLUMN('4'!AJ$1),0)</f>
        <v>148.75</v>
      </c>
      <c r="O24" s="50">
        <f>VLOOKUP($B24,'4'!$A$6:$AK$24,COLUMN('4'!AK$1),0)</f>
        <v>1</v>
      </c>
      <c r="P24" s="48">
        <f>IFERROR(VLOOKUP($C24,Sheet5!$C:$K,COLUMN(Sheet5!D$2)-2,0),"")</f>
        <v>0.967741935483871</v>
      </c>
      <c r="Q24" s="139">
        <f>IFERROR(VLOOKUP($C24,Sheet5!$C:$K,COLUMN(Sheet5!E$2)-2,0),"")</f>
        <v>0.441176470588235</v>
      </c>
      <c r="R24" s="49">
        <f>IFERROR(VLOOKUP($C24,Sheet5!$C:$K,COLUMN(Sheet5!F$2)-2,0),"")</f>
        <v>0.42307692307692302</v>
      </c>
      <c r="S24" s="49">
        <f>IFERROR(VLOOKUP($C24,Sheet5!$C:$K,COLUMN(Sheet5!G$2)-2,0),"")</f>
        <v>0.33333333333333298</v>
      </c>
      <c r="T24" s="49">
        <f>IFERROR(VLOOKUP($C24,Sheet5!$C:$K,COLUMN(Sheet5!H$2)-2,0),"")</f>
        <v>0.45714285714285702</v>
      </c>
      <c r="U24" s="50">
        <f>IFERROR(VLOOKUP($C24,Sheet5!$C:$K,COLUMN(Sheet5!I$2)-2,0),"")</f>
        <v>0.66666666666666696</v>
      </c>
      <c r="V24" s="107" t="e">
        <f>VLOOKUP($B24,'4'!$A$6:$AK$24,COLUMN('4'!AR$1),0)</f>
        <v>#REF!</v>
      </c>
      <c r="W24" s="108" t="e">
        <f>VLOOKUP($B24,'4'!$A$6:$AK$24,COLUMN('4'!AS$1),0)</f>
        <v>#REF!</v>
      </c>
      <c r="X24" s="109" t="e">
        <f>VLOOKUP($B24,'4'!$A$6:$AK$24,COLUMN('4'!AT$1),0)</f>
        <v>#REF!</v>
      </c>
    </row>
    <row r="25" spans="2:24" x14ac:dyDescent="0.2">
      <c r="B25" s="180">
        <v>15</v>
      </c>
      <c r="C25" s="182" t="str">
        <f>VLOOKUP($B25,'4'!$A$6:$AK$24,COLUMN('4'!Z$1),0)</f>
        <v>崔勤经贸</v>
      </c>
      <c r="D25" s="47" t="str">
        <f>VLOOKUP(C25,'4'!AL:AM,2,0)</f>
        <v>哈尔滨综合东所</v>
      </c>
      <c r="E25" s="107">
        <f>VLOOKUP($B25,'4'!$A$6:$AK$24,COLUMN('4'!AA$1),0)</f>
        <v>359</v>
      </c>
      <c r="F25" s="108">
        <f>VLOOKUP($B25,'4'!$A$6:$AK$24,COLUMN('4'!AB$1),0)</f>
        <v>526</v>
      </c>
      <c r="G25" s="109">
        <f>VLOOKUP($B25,'4'!$A$6:$AK$24,COLUMN('4'!AC$1),0)</f>
        <v>325</v>
      </c>
      <c r="H25" s="48">
        <f>VLOOKUP($B25,'4'!$A$6:$AK$24,COLUMN('4'!AD$1),0)</f>
        <v>0.56768558951965042</v>
      </c>
      <c r="I25" s="49">
        <f>VLOOKUP($B25,'4'!$A$6:$AK$24,COLUMN('4'!AE$1),0)</f>
        <v>0.20642201834862384</v>
      </c>
      <c r="J25" s="50">
        <f>VLOOKUP($B25,'4'!$A$6:$AK$24,COLUMN('4'!AF$1),0)</f>
        <v>5.1779935275080957E-2</v>
      </c>
      <c r="K25" s="107">
        <f>VLOOKUP($B25,'4'!$A$6:$AK$24,COLUMN('4'!AG$1),0)</f>
        <v>312.5</v>
      </c>
      <c r="L25" s="108">
        <f>VLOOKUP($B25,'4'!$A$6:$AK$24,COLUMN('4'!AH$1),0)</f>
        <v>693</v>
      </c>
      <c r="M25" s="49">
        <f>VLOOKUP($B25,'4'!$A$6:$AK$24,COLUMN('4'!AI$1),0)</f>
        <v>-0.54906204906204903</v>
      </c>
      <c r="N25" s="108">
        <f>VLOOKUP($B25,'4'!$A$6:$AK$24,COLUMN('4'!AJ$1),0)</f>
        <v>312.5</v>
      </c>
      <c r="O25" s="50">
        <f>VLOOKUP($B25,'4'!$A$6:$AK$24,COLUMN('4'!AK$1),0)</f>
        <v>1</v>
      </c>
      <c r="P25" s="48">
        <f>IFERROR(VLOOKUP($C25,Sheet5!$C:$K,COLUMN(Sheet5!D$2)-2,0),"")</f>
        <v>0.96887159533073897</v>
      </c>
      <c r="Q25" s="139">
        <f>IFERROR(VLOOKUP($C25,Sheet5!$C:$K,COLUMN(Sheet5!E$2)-2,0),"")</f>
        <v>0.92076502732240395</v>
      </c>
      <c r="R25" s="49">
        <f>IFERROR(VLOOKUP($C25,Sheet5!$C:$K,COLUMN(Sheet5!F$2)-2,0),"")</f>
        <v>0.85198555956678701</v>
      </c>
      <c r="S25" s="49">
        <f>IFERROR(VLOOKUP($C25,Sheet5!$C:$K,COLUMN(Sheet5!G$2)-2,0),"")</f>
        <v>0.93684210526315792</v>
      </c>
      <c r="T25" s="49">
        <f>IFERROR(VLOOKUP($C25,Sheet5!$C:$K,COLUMN(Sheet5!H$2)-2,0),"")</f>
        <v>0.94475138121547009</v>
      </c>
      <c r="U25" s="50">
        <f>IFERROR(VLOOKUP($C25,Sheet5!$C:$K,COLUMN(Sheet5!I$2)-2,0),"")</f>
        <v>0.934782608695652</v>
      </c>
      <c r="V25" s="107">
        <v>146</v>
      </c>
      <c r="W25" s="108">
        <v>200</v>
      </c>
      <c r="X25" s="109">
        <f>W25-V25</f>
        <v>54</v>
      </c>
    </row>
    <row r="26" spans="2:24" x14ac:dyDescent="0.2">
      <c r="B26" s="180">
        <v>16</v>
      </c>
      <c r="C26" s="182" t="str">
        <f>VLOOKUP($B26,'4'!$A$6:$AK$24,COLUMN('4'!Z$1),0)</f>
        <v>呼兰鲁岳</v>
      </c>
      <c r="D26" s="47" t="str">
        <f>VLOOKUP(C26,'4'!AL:AM,2,0)</f>
        <v>哈尔滨城区北所</v>
      </c>
      <c r="E26" s="107">
        <f>VLOOKUP($B26,'4'!$A$6:$AK$24,COLUMN('4'!AA$1),0)</f>
        <v>60</v>
      </c>
      <c r="F26" s="108">
        <f>VLOOKUP($B26,'4'!$A$6:$AK$24,COLUMN('4'!AB$1),0)</f>
        <v>410</v>
      </c>
      <c r="G26" s="109">
        <f>VLOOKUP($B26,'4'!$A$6:$AK$24,COLUMN('4'!AC$1),0)</f>
        <v>255</v>
      </c>
      <c r="H26" s="48">
        <f>VLOOKUP($B26,'4'!$A$6:$AK$24,COLUMN('4'!AD$1),0)</f>
        <v>-0.82352941176470584</v>
      </c>
      <c r="I26" s="49">
        <f>VLOOKUP($B26,'4'!$A$6:$AK$24,COLUMN('4'!AE$1),0)</f>
        <v>0.20588235294117641</v>
      </c>
      <c r="J26" s="50">
        <f>VLOOKUP($B26,'4'!$A$6:$AK$24,COLUMN('4'!AF$1),0)</f>
        <v>-0.17207792207792205</v>
      </c>
      <c r="K26" s="107">
        <f>VLOOKUP($B26,'4'!$A$6:$AK$24,COLUMN('4'!AG$1),0)</f>
        <v>312.5</v>
      </c>
      <c r="L26" s="108">
        <f>VLOOKUP($B26,'4'!$A$6:$AK$24,COLUMN('4'!AH$1),0)</f>
        <v>716</v>
      </c>
      <c r="M26" s="49">
        <f>VLOOKUP($B26,'4'!$A$6:$AK$24,COLUMN('4'!AI$1),0)</f>
        <v>-0.56354748603351956</v>
      </c>
      <c r="N26" s="108">
        <f>VLOOKUP($B26,'4'!$A$6:$AK$24,COLUMN('4'!AJ$1),0)</f>
        <v>312.5</v>
      </c>
      <c r="O26" s="50">
        <f>VLOOKUP($B26,'4'!$A$6:$AK$24,COLUMN('4'!AK$1),0)</f>
        <v>1</v>
      </c>
      <c r="P26" s="48">
        <f>IFERROR(VLOOKUP($C26,Sheet5!$C:$K,COLUMN(Sheet5!D$2)-2,0),"")</f>
        <v>1</v>
      </c>
      <c r="Q26" s="139">
        <f>IFERROR(VLOOKUP($C26,Sheet5!$C:$K,COLUMN(Sheet5!E$2)-2,0),"")</f>
        <v>0.57142857142857106</v>
      </c>
      <c r="R26" s="49">
        <f>IFERROR(VLOOKUP($C26,Sheet5!$C:$K,COLUMN(Sheet5!F$2)-2,0),"")</f>
        <v>0.7</v>
      </c>
      <c r="S26" s="49">
        <f>IFERROR(VLOOKUP($C26,Sheet5!$C:$K,COLUMN(Sheet5!G$2)-2,0),"")</f>
        <v>1</v>
      </c>
      <c r="T26" s="49">
        <f>IFERROR(VLOOKUP($C26,Sheet5!$C:$K,COLUMN(Sheet5!H$2)-2,0),"")</f>
        <v>0.57142857142857106</v>
      </c>
      <c r="U26" s="50">
        <f>IFERROR(VLOOKUP($C26,Sheet5!$C:$K,COLUMN(Sheet5!I$2)-2,0),"")</f>
        <v>1</v>
      </c>
      <c r="V26" s="107">
        <v>134</v>
      </c>
      <c r="W26" s="108">
        <v>212</v>
      </c>
      <c r="X26" s="109">
        <f t="shared" ref="X26:X29" si="1">W26-V26</f>
        <v>78</v>
      </c>
    </row>
    <row r="27" spans="2:24" x14ac:dyDescent="0.2">
      <c r="B27" s="180">
        <v>17</v>
      </c>
      <c r="C27" s="182" t="str">
        <f>VLOOKUP($B27,'4'!$A$6:$AK$24,COLUMN('4'!Z$1),0)</f>
        <v>道外春雨</v>
      </c>
      <c r="D27" s="47" t="str">
        <f>VLOOKUP(C27,'4'!AL:AM,2,0)</f>
        <v>哈尔滨综合西所</v>
      </c>
      <c r="E27" s="107">
        <f>VLOOKUP($B27,'4'!$A$6:$AK$24,COLUMN('4'!AA$1),0)</f>
        <v>250</v>
      </c>
      <c r="F27" s="108">
        <f>VLOOKUP($B27,'4'!$A$6:$AK$24,COLUMN('4'!AB$1),0)</f>
        <v>518</v>
      </c>
      <c r="G27" s="109">
        <f>VLOOKUP($B27,'4'!$A$6:$AK$24,COLUMN('4'!AC$1),0)</f>
        <v>281</v>
      </c>
      <c r="H27" s="48">
        <f>VLOOKUP($B27,'4'!$A$6:$AK$24,COLUMN('4'!AD$1),0)</f>
        <v>1.2145748987854255E-2</v>
      </c>
      <c r="I27" s="49">
        <f>VLOOKUP($B27,'4'!$A$6:$AK$24,COLUMN('4'!AE$1),0)</f>
        <v>3.6000000000000032E-2</v>
      </c>
      <c r="J27" s="50">
        <f>VLOOKUP($B27,'4'!$A$6:$AK$24,COLUMN('4'!AF$1),0)</f>
        <v>0.21645021645021645</v>
      </c>
      <c r="K27" s="107">
        <f>VLOOKUP($B27,'4'!$A$6:$AK$24,COLUMN('4'!AG$1),0)</f>
        <v>282.5</v>
      </c>
      <c r="L27" s="108">
        <f>VLOOKUP($B27,'4'!$A$6:$AK$24,COLUMN('4'!AH$1),0)</f>
        <v>753</v>
      </c>
      <c r="M27" s="49">
        <f>VLOOKUP($B27,'4'!$A$6:$AK$24,COLUMN('4'!AI$1),0)</f>
        <v>-0.6248339973439575</v>
      </c>
      <c r="N27" s="108">
        <f>VLOOKUP($B27,'4'!$A$6:$AK$24,COLUMN('4'!AJ$1),0)</f>
        <v>282.5</v>
      </c>
      <c r="O27" s="50">
        <f>VLOOKUP($B27,'4'!$A$6:$AK$24,COLUMN('4'!AK$1),0)</f>
        <v>1</v>
      </c>
      <c r="P27" s="48">
        <f>IFERROR(VLOOKUP($C27,Sheet5!$C:$K,COLUMN(Sheet5!D$2)-2,0),"")</f>
        <v>0.98939929328621901</v>
      </c>
      <c r="Q27" s="139">
        <f>IFERROR(VLOOKUP($C27,Sheet5!$C:$K,COLUMN(Sheet5!E$2)-2,0),"")</f>
        <v>0.97715736040609102</v>
      </c>
      <c r="R27" s="49">
        <f>IFERROR(VLOOKUP($C27,Sheet5!$C:$K,COLUMN(Sheet5!F$2)-2,0),"")</f>
        <v>0.97432024169184306</v>
      </c>
      <c r="S27" s="49">
        <f>IFERROR(VLOOKUP($C27,Sheet5!$C:$K,COLUMN(Sheet5!G$2)-2,0),"")</f>
        <v>1</v>
      </c>
      <c r="T27" s="49">
        <f>IFERROR(VLOOKUP($C27,Sheet5!$C:$K,COLUMN(Sheet5!H$2)-2,0),"")</f>
        <v>0.98724489795918402</v>
      </c>
      <c r="U27" s="50">
        <f>IFERROR(VLOOKUP($C27,Sheet5!$C:$K,COLUMN(Sheet5!I$2)-2,0),"")</f>
        <v>1</v>
      </c>
      <c r="V27" s="107">
        <v>105</v>
      </c>
      <c r="W27" s="108">
        <v>79</v>
      </c>
      <c r="X27" s="109">
        <f t="shared" si="1"/>
        <v>-26</v>
      </c>
    </row>
    <row r="28" spans="2:24" x14ac:dyDescent="0.2">
      <c r="B28" s="180">
        <v>18</v>
      </c>
      <c r="C28" s="182" t="str">
        <f>VLOOKUP($B28,'4'!$A$6:$AK$24,COLUMN('4'!Z$1),0)</f>
        <v>宾县龙兴</v>
      </c>
      <c r="D28" s="47" t="str">
        <f>VLOOKUP(C28,'4'!AL:AM,2,0)</f>
        <v>宾县外埠所</v>
      </c>
      <c r="E28" s="107">
        <f>VLOOKUP($B28,'4'!$A$6:$AK$24,COLUMN('4'!AA$1),0)</f>
        <v>150</v>
      </c>
      <c r="F28" s="108">
        <f>VLOOKUP($B28,'4'!$A$6:$AK$24,COLUMN('4'!AB$1),0)</f>
        <v>531</v>
      </c>
      <c r="G28" s="109">
        <f>VLOOKUP($B28,'4'!$A$6:$AK$24,COLUMN('4'!AC$1),0)</f>
        <v>683</v>
      </c>
      <c r="H28" s="48">
        <f>VLOOKUP($B28,'4'!$A$6:$AK$24,COLUMN('4'!AD$1),0)</f>
        <v>-0.75649350649350655</v>
      </c>
      <c r="I28" s="49">
        <f>VLOOKUP($B28,'4'!$A$6:$AK$24,COLUMN('4'!AE$1),0)</f>
        <v>-0.4814453125</v>
      </c>
      <c r="J28" s="50">
        <f>VLOOKUP($B28,'4'!$A$6:$AK$24,COLUMN('4'!AF$1),0)</f>
        <v>0.43789473684210534</v>
      </c>
      <c r="K28" s="107">
        <f>VLOOKUP($B28,'4'!$A$6:$AK$24,COLUMN('4'!AG$1),0)</f>
        <v>325</v>
      </c>
      <c r="L28" s="108">
        <f>VLOOKUP($B28,'4'!$A$6:$AK$24,COLUMN('4'!AH$1),0)</f>
        <v>880</v>
      </c>
      <c r="M28" s="49">
        <f>VLOOKUP($B28,'4'!$A$6:$AK$24,COLUMN('4'!AI$1),0)</f>
        <v>-0.63068181818181812</v>
      </c>
      <c r="N28" s="108">
        <f>VLOOKUP($B28,'4'!$A$6:$AK$24,COLUMN('4'!AJ$1),0)</f>
        <v>325</v>
      </c>
      <c r="O28" s="50">
        <f>VLOOKUP($B28,'4'!$A$6:$AK$24,COLUMN('4'!AK$1),0)</f>
        <v>1</v>
      </c>
      <c r="P28" s="48">
        <f>IFERROR(VLOOKUP($C28,Sheet5!$C:$K,COLUMN(Sheet5!D$2)-2,0),"")</f>
        <v>0.9609375</v>
      </c>
      <c r="Q28" s="139">
        <f>IFERROR(VLOOKUP($C28,Sheet5!$C:$K,COLUMN(Sheet5!E$2)-2,0),"")</f>
        <v>0.65633074935400504</v>
      </c>
      <c r="R28" s="49">
        <f>IFERROR(VLOOKUP($C28,Sheet5!$C:$K,COLUMN(Sheet5!F$2)-2,0),"")</f>
        <v>0.60155038759689905</v>
      </c>
      <c r="S28" s="49">
        <f>IFERROR(VLOOKUP($C28,Sheet5!$C:$K,COLUMN(Sheet5!G$2)-2,0),"")</f>
        <v>0.8</v>
      </c>
      <c r="T28" s="49">
        <f>IFERROR(VLOOKUP($C28,Sheet5!$C:$K,COLUMN(Sheet5!H$2)-2,0),"")</f>
        <v>0.6744186046511631</v>
      </c>
      <c r="U28" s="50">
        <f>IFERROR(VLOOKUP($C28,Sheet5!$C:$K,COLUMN(Sheet5!I$2)-2,0),"")</f>
        <v>0.78181818181818197</v>
      </c>
      <c r="V28" s="107">
        <v>591</v>
      </c>
      <c r="W28" s="108">
        <v>533</v>
      </c>
      <c r="X28" s="109">
        <f t="shared" si="1"/>
        <v>-58</v>
      </c>
    </row>
    <row r="29" spans="2:24" x14ac:dyDescent="0.2">
      <c r="B29" s="181">
        <v>19</v>
      </c>
      <c r="C29" s="183" t="str">
        <f>VLOOKUP($B29,'4'!$A$6:$AK$24,COLUMN('4'!Z$1),0)</f>
        <v>木兰新小合</v>
      </c>
      <c r="D29" s="52" t="str">
        <f>VLOOKUP(C29,'4'!AL:AM,2,0)</f>
        <v>宾县外埠所</v>
      </c>
      <c r="E29" s="110">
        <f>VLOOKUP($B29,'4'!$A$6:$AK$24,COLUMN('4'!AA$1),0)</f>
        <v>80</v>
      </c>
      <c r="F29" s="111">
        <f>VLOOKUP($B29,'4'!$A$6:$AK$24,COLUMN('4'!AB$1),0)</f>
        <v>187</v>
      </c>
      <c r="G29" s="112">
        <f>VLOOKUP($B29,'4'!$A$6:$AK$24,COLUMN('4'!AC$1),0)</f>
        <v>80</v>
      </c>
      <c r="H29" s="53">
        <f>VLOOKUP($B29,'4'!$A$6:$AK$24,COLUMN('4'!AD$1),0)</f>
        <v>-0.22330097087378631</v>
      </c>
      <c r="I29" s="54">
        <f>VLOOKUP($B29,'4'!$A$6:$AK$24,COLUMN('4'!AE$1),0)</f>
        <v>-0.1651785714285714</v>
      </c>
      <c r="J29" s="55">
        <f>VLOOKUP($B29,'4'!$A$6:$AK$24,COLUMN('4'!AF$1),0)</f>
        <v>-0.66666666666666663</v>
      </c>
      <c r="K29" s="110">
        <f>VLOOKUP($B29,'4'!$A$6:$AK$24,COLUMN('4'!AG$1),0)</f>
        <v>100</v>
      </c>
      <c r="L29" s="111">
        <f>VLOOKUP($B29,'4'!$A$6:$AK$24,COLUMN('4'!AH$1),0)</f>
        <v>380</v>
      </c>
      <c r="M29" s="54">
        <f>VLOOKUP($B29,'4'!$A$6:$AK$24,COLUMN('4'!AI$1),0)</f>
        <v>-0.73684210526315796</v>
      </c>
      <c r="N29" s="111">
        <f>VLOOKUP($B29,'4'!$A$6:$AK$24,COLUMN('4'!AJ$1),0)</f>
        <v>100</v>
      </c>
      <c r="O29" s="55">
        <f>VLOOKUP($B29,'4'!$A$6:$AK$24,COLUMN('4'!AK$1),0)</f>
        <v>1</v>
      </c>
      <c r="P29" s="53">
        <f>IFERROR(VLOOKUP($C29,Sheet5!$C:$K,COLUMN(Sheet5!D$2)-2,0),"")</f>
        <v>0.98039215686274506</v>
      </c>
      <c r="Q29" s="140">
        <f>IFERROR(VLOOKUP($C29,Sheet5!$C:$K,COLUMN(Sheet5!E$2)-2,0),"")</f>
        <v>1</v>
      </c>
      <c r="R29" s="54">
        <f>IFERROR(VLOOKUP($C29,Sheet5!$C:$K,COLUMN(Sheet5!F$2)-2,0),"")</f>
        <v>1</v>
      </c>
      <c r="S29" s="54">
        <f>IFERROR(VLOOKUP($C29,Sheet5!$C:$K,COLUMN(Sheet5!G$2)-2,0),"")</f>
        <v>1</v>
      </c>
      <c r="T29" s="54">
        <f>IFERROR(VLOOKUP($C29,Sheet5!$C:$K,COLUMN(Sheet5!H$2)-2,0),"")</f>
        <v>1</v>
      </c>
      <c r="U29" s="55">
        <f>IFERROR(VLOOKUP($C29,Sheet5!$C:$K,COLUMN(Sheet5!I$2)-2,0),"")</f>
        <v>1</v>
      </c>
      <c r="V29" s="110">
        <v>166</v>
      </c>
      <c r="W29" s="111">
        <v>131</v>
      </c>
      <c r="X29" s="112">
        <f t="shared" si="1"/>
        <v>-35</v>
      </c>
    </row>
  </sheetData>
  <mergeCells count="8">
    <mergeCell ref="V2:X2"/>
    <mergeCell ref="K2:O2"/>
    <mergeCell ref="P2:U2"/>
    <mergeCell ref="B4:C4"/>
    <mergeCell ref="B2:B3"/>
    <mergeCell ref="E2:G2"/>
    <mergeCell ref="H2:J2"/>
    <mergeCell ref="C2:D2"/>
  </mergeCells>
  <phoneticPr fontId="19" type="noConversion"/>
  <conditionalFormatting sqref="H4:J29">
    <cfRule type="cellIs" dxfId="24" priority="8" operator="lessThan">
      <formula>0</formula>
    </cfRule>
  </conditionalFormatting>
  <conditionalFormatting sqref="M1:M1048576">
    <cfRule type="cellIs" dxfId="23" priority="3" operator="lessThan">
      <formula>0</formula>
    </cfRule>
  </conditionalFormatting>
  <conditionalFormatting sqref="X25:X29">
    <cfRule type="cellIs" dxfId="0" priority="1" operator="greaterThan">
      <formula>$Y$37</formula>
    </cfRule>
    <cfRule type="cellIs" dxfId="1" priority="2" operator="lessThan">
      <formula>0</formula>
    </cfRule>
  </conditionalFormatting>
  <pageMargins left="0.7" right="0.7" top="0.75" bottom="0.75" header="0.3" footer="0.3"/>
  <pageSetup paperSize="9" orientation="portrait" verticalDpi="0" r:id="rId1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42"/>
  <sheetViews>
    <sheetView showGridLines="0" workbookViewId="0">
      <selection activeCell="B2" sqref="B2:X42"/>
    </sheetView>
  </sheetViews>
  <sheetFormatPr defaultRowHeight="16.5" outlineLevelCol="1" x14ac:dyDescent="0.2"/>
  <cols>
    <col min="1" max="1" width="9" style="9"/>
    <col min="2" max="2" width="5.625" style="9" customWidth="1"/>
    <col min="3" max="4" width="12.625" style="9" customWidth="1"/>
    <col min="5" max="7" width="0" style="9" hidden="1" customWidth="1" outlineLevel="1"/>
    <col min="8" max="8" width="9" style="9" collapsed="1"/>
    <col min="9" max="16384" width="9" style="9"/>
  </cols>
  <sheetData>
    <row r="2" spans="2:24" ht="14.25" customHeight="1" x14ac:dyDescent="0.2">
      <c r="B2" s="195" t="s">
        <v>175</v>
      </c>
      <c r="C2" s="193" t="s">
        <v>203</v>
      </c>
      <c r="D2" s="194"/>
      <c r="E2" s="186" t="s">
        <v>176</v>
      </c>
      <c r="F2" s="187"/>
      <c r="G2" s="188"/>
      <c r="H2" s="186" t="s">
        <v>177</v>
      </c>
      <c r="I2" s="187"/>
      <c r="J2" s="188"/>
      <c r="K2" s="186">
        <f>Sheet1!K2</f>
        <v>2505</v>
      </c>
      <c r="L2" s="187"/>
      <c r="M2" s="187"/>
      <c r="N2" s="187"/>
      <c r="O2" s="188"/>
      <c r="P2" s="186" t="s">
        <v>178</v>
      </c>
      <c r="Q2" s="187"/>
      <c r="R2" s="187"/>
      <c r="S2" s="187"/>
      <c r="T2" s="187"/>
      <c r="U2" s="188"/>
      <c r="V2" s="186" t="s">
        <v>225</v>
      </c>
      <c r="W2" s="187"/>
      <c r="X2" s="188"/>
    </row>
    <row r="3" spans="2:24" x14ac:dyDescent="0.2">
      <c r="B3" s="196"/>
      <c r="C3" s="20" t="s">
        <v>198</v>
      </c>
      <c r="D3" s="22" t="s">
        <v>199</v>
      </c>
      <c r="E3" s="20">
        <f>Sheet1!E3</f>
        <v>2502</v>
      </c>
      <c r="F3" s="21">
        <f>Sheet1!F3</f>
        <v>2503</v>
      </c>
      <c r="G3" s="22">
        <f>Sheet1!G3</f>
        <v>2504</v>
      </c>
      <c r="H3" s="20">
        <f>Sheet1!H3</f>
        <v>2502</v>
      </c>
      <c r="I3" s="21">
        <f>Sheet1!I3</f>
        <v>2503</v>
      </c>
      <c r="J3" s="22">
        <f>Sheet1!J3</f>
        <v>2504</v>
      </c>
      <c r="K3" s="20" t="s">
        <v>176</v>
      </c>
      <c r="L3" s="21" t="s">
        <v>179</v>
      </c>
      <c r="M3" s="21" t="s">
        <v>177</v>
      </c>
      <c r="N3" s="21" t="s">
        <v>180</v>
      </c>
      <c r="O3" s="22" t="s">
        <v>181</v>
      </c>
      <c r="P3" s="20" t="s">
        <v>194</v>
      </c>
      <c r="Q3" s="133" t="s">
        <v>37</v>
      </c>
      <c r="R3" s="21" t="s">
        <v>38</v>
      </c>
      <c r="S3" s="21" t="s">
        <v>39</v>
      </c>
      <c r="T3" s="21" t="s">
        <v>40</v>
      </c>
      <c r="U3" s="22" t="s">
        <v>41</v>
      </c>
      <c r="V3" s="20" t="s">
        <v>226</v>
      </c>
      <c r="W3" s="21" t="s">
        <v>227</v>
      </c>
      <c r="X3" s="22" t="s">
        <v>228</v>
      </c>
    </row>
    <row r="4" spans="2:24" ht="14.25" hidden="1" customHeight="1" x14ac:dyDescent="0.2">
      <c r="B4" s="189" t="s">
        <v>12</v>
      </c>
      <c r="C4" s="190"/>
      <c r="D4" s="150"/>
      <c r="E4" s="92">
        <f>基础表!E25</f>
        <v>6860</v>
      </c>
      <c r="F4" s="93">
        <f>基础表!F25</f>
        <v>5981</v>
      </c>
      <c r="G4" s="94">
        <f>基础表!G25</f>
        <v>6778</v>
      </c>
      <c r="H4" s="23">
        <f>基础表!H25</f>
        <v>1.4306151645207441E-3</v>
      </c>
      <c r="I4" s="24">
        <f>基础表!I25</f>
        <v>-0.14754371357202331</v>
      </c>
      <c r="J4" s="25">
        <f>基础表!J25</f>
        <v>-9.8376313276026806E-2</v>
      </c>
      <c r="K4" s="92" t="e">
        <f>基础表!K25</f>
        <v>#REF!</v>
      </c>
      <c r="L4" s="93" t="e">
        <f>基础表!L25</f>
        <v>#REF!</v>
      </c>
      <c r="M4" s="24" t="e">
        <f>基础表!M25</f>
        <v>#REF!</v>
      </c>
      <c r="N4" s="93" t="e">
        <f>基础表!N25</f>
        <v>#REF!</v>
      </c>
      <c r="O4" s="25" t="e">
        <f>基础表!O25</f>
        <v>#REF!</v>
      </c>
      <c r="P4" s="23" t="e">
        <f>基础表!P25</f>
        <v>#REF!</v>
      </c>
      <c r="Q4" s="134" t="e">
        <f>基础表!Q25</f>
        <v>#REF!</v>
      </c>
      <c r="R4" s="24" t="e">
        <f>基础表!R25</f>
        <v>#REF!</v>
      </c>
      <c r="S4" s="24" t="e">
        <f>基础表!S25</f>
        <v>#REF!</v>
      </c>
      <c r="T4" s="24" t="e">
        <f>基础表!T25</f>
        <v>#REF!</v>
      </c>
      <c r="U4" s="25" t="e">
        <f>基础表!U25</f>
        <v>#REF!</v>
      </c>
      <c r="V4" s="92">
        <f>基础表!V11</f>
        <v>0</v>
      </c>
      <c r="W4" s="93">
        <f>基础表!W11</f>
        <v>0</v>
      </c>
      <c r="X4" s="94">
        <f>基础表!X11</f>
        <v>0</v>
      </c>
    </row>
    <row r="5" spans="2:24" hidden="1" x14ac:dyDescent="0.2">
      <c r="B5" s="26">
        <v>1</v>
      </c>
      <c r="C5" s="27" t="e">
        <f>VLOOKUP($B5,基础表!$A$16:$U$24,COLUMN(基础表!D1),0)</f>
        <v>#N/A</v>
      </c>
      <c r="D5" s="151"/>
      <c r="E5" s="95" t="e">
        <f>VLOOKUP($B5,基础表!$A$16:$U$24,COLUMN(基础表!E1),0)</f>
        <v>#N/A</v>
      </c>
      <c r="F5" s="96" t="e">
        <f>VLOOKUP($B5,基础表!$A$16:$U$24,COLUMN(基础表!F1),0)</f>
        <v>#N/A</v>
      </c>
      <c r="G5" s="97" t="e">
        <f>VLOOKUP($B5,基础表!$A$16:$U$24,COLUMN(基础表!G1),0)</f>
        <v>#N/A</v>
      </c>
      <c r="H5" s="28" t="e">
        <f>VLOOKUP($B5,基础表!$A$16:$U$24,COLUMN(基础表!H1),0)</f>
        <v>#N/A</v>
      </c>
      <c r="I5" s="29" t="e">
        <f>VLOOKUP($B5,基础表!$A$16:$U$24,COLUMN(基础表!I1),0)</f>
        <v>#N/A</v>
      </c>
      <c r="J5" s="30" t="e">
        <f>VLOOKUP($B5,基础表!$A$16:$U$24,COLUMN(基础表!J1),0)</f>
        <v>#N/A</v>
      </c>
      <c r="K5" s="95" t="e">
        <f>VLOOKUP($B5,基础表!$A$16:$U$24,COLUMN(基础表!K1),0)</f>
        <v>#N/A</v>
      </c>
      <c r="L5" s="113" t="e">
        <f>VLOOKUP($B5,基础表!$A$16:$U$24,COLUMN(基础表!L1),0)</f>
        <v>#N/A</v>
      </c>
      <c r="M5" s="29" t="e">
        <f>VLOOKUP($B5,基础表!$A$16:$U$24,COLUMN(基础表!M1),0)</f>
        <v>#N/A</v>
      </c>
      <c r="N5" s="113" t="e">
        <f>VLOOKUP($B5,基础表!$A$16:$U$24,COLUMN(基础表!N1),0)</f>
        <v>#N/A</v>
      </c>
      <c r="O5" s="30" t="e">
        <f>VLOOKUP($B5,基础表!$A$16:$U$24,COLUMN(基础表!O1),0)</f>
        <v>#N/A</v>
      </c>
      <c r="P5" s="28" t="e">
        <f>VLOOKUP($B5,基础表!$A$16:$U$24,COLUMN(基础表!P1),0)</f>
        <v>#N/A</v>
      </c>
      <c r="Q5" s="135" t="e">
        <f>VLOOKUP($B5,基础表!$A$16:$U$24,COLUMN(基础表!Q1),0)</f>
        <v>#N/A</v>
      </c>
      <c r="R5" s="29" t="e">
        <f>VLOOKUP($B5,基础表!$A$16:$U$24,COLUMN(基础表!R1),0)</f>
        <v>#N/A</v>
      </c>
      <c r="S5" s="29" t="e">
        <f>VLOOKUP($B5,基础表!$A$16:$U$24,COLUMN(基础表!S1),0)</f>
        <v>#N/A</v>
      </c>
      <c r="T5" s="29" t="e">
        <f>VLOOKUP($B5,基础表!$A$16:$U$24,COLUMN(基础表!T1),0)</f>
        <v>#N/A</v>
      </c>
      <c r="U5" s="30" t="e">
        <f>VLOOKUP($B5,基础表!$A$16:$U$24,COLUMN(基础表!U1),0)</f>
        <v>#N/A</v>
      </c>
      <c r="V5" s="95" t="e">
        <f>VLOOKUP($B5,基础表!$A$5:$U$10,COLUMN(基础表!V1),0)</f>
        <v>#N/A</v>
      </c>
      <c r="W5" s="96" t="e">
        <f>VLOOKUP($B5,基础表!$A$5:$U$10,COLUMN(基础表!W1),0)</f>
        <v>#N/A</v>
      </c>
      <c r="X5" s="97" t="e">
        <f>VLOOKUP($B5,基础表!$A$5:$U$10,COLUMN(基础表!X1),0)</f>
        <v>#N/A</v>
      </c>
    </row>
    <row r="6" spans="2:24" hidden="1" x14ac:dyDescent="0.2">
      <c r="B6" s="31">
        <v>2</v>
      </c>
      <c r="C6" s="32" t="e">
        <f>VLOOKUP($B6,基础表!$A$16:$U$24,COLUMN(基础表!D2),0)</f>
        <v>#N/A</v>
      </c>
      <c r="D6" s="152"/>
      <c r="E6" s="98" t="e">
        <f>VLOOKUP($B6,基础表!$A$16:$U$24,COLUMN(基础表!E2),0)</f>
        <v>#N/A</v>
      </c>
      <c r="F6" s="99" t="e">
        <f>VLOOKUP($B6,基础表!$A$16:$U$24,COLUMN(基础表!F2),0)</f>
        <v>#N/A</v>
      </c>
      <c r="G6" s="100" t="e">
        <f>VLOOKUP($B6,基础表!$A$16:$U$24,COLUMN(基础表!G2),0)</f>
        <v>#N/A</v>
      </c>
      <c r="H6" s="33" t="e">
        <f>VLOOKUP($B6,基础表!$A$16:$U$24,COLUMN(基础表!H2),0)</f>
        <v>#N/A</v>
      </c>
      <c r="I6" s="34" t="e">
        <f>VLOOKUP($B6,基础表!$A$16:$U$24,COLUMN(基础表!I2),0)</f>
        <v>#N/A</v>
      </c>
      <c r="J6" s="35" t="e">
        <f>VLOOKUP($B6,基础表!$A$16:$U$24,COLUMN(基础表!J2),0)</f>
        <v>#N/A</v>
      </c>
      <c r="K6" s="98" t="e">
        <f>VLOOKUP($B6,基础表!$A$16:$U$24,COLUMN(基础表!K2),0)</f>
        <v>#N/A</v>
      </c>
      <c r="L6" s="114" t="e">
        <f>VLOOKUP($B6,基础表!$A$16:$U$24,COLUMN(基础表!L2),0)</f>
        <v>#N/A</v>
      </c>
      <c r="M6" s="34" t="e">
        <f>VLOOKUP($B6,基础表!$A$16:$U$24,COLUMN(基础表!M2),0)</f>
        <v>#N/A</v>
      </c>
      <c r="N6" s="114" t="e">
        <f>VLOOKUP($B6,基础表!$A$16:$U$24,COLUMN(基础表!N2),0)</f>
        <v>#N/A</v>
      </c>
      <c r="O6" s="35" t="e">
        <f>VLOOKUP($B6,基础表!$A$16:$U$24,COLUMN(基础表!O2),0)</f>
        <v>#N/A</v>
      </c>
      <c r="P6" s="33" t="e">
        <f>VLOOKUP($B6,基础表!$A$16:$U$24,COLUMN(基础表!P2),0)</f>
        <v>#N/A</v>
      </c>
      <c r="Q6" s="136" t="e">
        <f>VLOOKUP($B6,基础表!$A$16:$U$24,COLUMN(基础表!Q2),0)</f>
        <v>#N/A</v>
      </c>
      <c r="R6" s="34" t="e">
        <f>VLOOKUP($B6,基础表!$A$16:$U$24,COLUMN(基础表!R2),0)</f>
        <v>#N/A</v>
      </c>
      <c r="S6" s="34" t="e">
        <f>VLOOKUP($B6,基础表!$A$16:$U$24,COLUMN(基础表!S2),0)</f>
        <v>#N/A</v>
      </c>
      <c r="T6" s="34" t="e">
        <f>VLOOKUP($B6,基础表!$A$16:$U$24,COLUMN(基础表!T2),0)</f>
        <v>#N/A</v>
      </c>
      <c r="U6" s="35" t="e">
        <f>VLOOKUP($B6,基础表!$A$16:$U$24,COLUMN(基础表!U2),0)</f>
        <v>#N/A</v>
      </c>
      <c r="V6" s="98" t="e">
        <f>VLOOKUP($B6,基础表!$A$5:$U$10,COLUMN(基础表!V2),0)</f>
        <v>#N/A</v>
      </c>
      <c r="W6" s="99" t="e">
        <f>VLOOKUP($B6,基础表!$A$5:$U$10,COLUMN(基础表!W2),0)</f>
        <v>#N/A</v>
      </c>
      <c r="X6" s="100" t="e">
        <f>VLOOKUP($B6,基础表!$A$5:$U$10,COLUMN(基础表!X2),0)</f>
        <v>#N/A</v>
      </c>
    </row>
    <row r="7" spans="2:24" hidden="1" x14ac:dyDescent="0.2">
      <c r="B7" s="31">
        <v>3</v>
      </c>
      <c r="C7" s="32" t="e">
        <f>VLOOKUP($B7,基础表!$A$16:$U$24,COLUMN(基础表!D3),0)</f>
        <v>#N/A</v>
      </c>
      <c r="D7" s="152"/>
      <c r="E7" s="98" t="e">
        <f>VLOOKUP($B7,基础表!$A$16:$U$24,COLUMN(基础表!E3),0)</f>
        <v>#N/A</v>
      </c>
      <c r="F7" s="99" t="e">
        <f>VLOOKUP($B7,基础表!$A$16:$U$24,COLUMN(基础表!F3),0)</f>
        <v>#N/A</v>
      </c>
      <c r="G7" s="100" t="e">
        <f>VLOOKUP($B7,基础表!$A$16:$U$24,COLUMN(基础表!G3),0)</f>
        <v>#N/A</v>
      </c>
      <c r="H7" s="33" t="e">
        <f>VLOOKUP($B7,基础表!$A$16:$U$24,COLUMN(基础表!H3),0)</f>
        <v>#N/A</v>
      </c>
      <c r="I7" s="34" t="e">
        <f>VLOOKUP($B7,基础表!$A$16:$U$24,COLUMN(基础表!I3),0)</f>
        <v>#N/A</v>
      </c>
      <c r="J7" s="35" t="e">
        <f>VLOOKUP($B7,基础表!$A$16:$U$24,COLUMN(基础表!J3),0)</f>
        <v>#N/A</v>
      </c>
      <c r="K7" s="98" t="e">
        <f>VLOOKUP($B7,基础表!$A$16:$U$24,COLUMN(基础表!K3),0)</f>
        <v>#N/A</v>
      </c>
      <c r="L7" s="114" t="e">
        <f>VLOOKUP($B7,基础表!$A$16:$U$24,COLUMN(基础表!L3),0)</f>
        <v>#N/A</v>
      </c>
      <c r="M7" s="34" t="e">
        <f>VLOOKUP($B7,基础表!$A$16:$U$24,COLUMN(基础表!M3),0)</f>
        <v>#N/A</v>
      </c>
      <c r="N7" s="114" t="e">
        <f>VLOOKUP($B7,基础表!$A$16:$U$24,COLUMN(基础表!N3),0)</f>
        <v>#N/A</v>
      </c>
      <c r="O7" s="35" t="e">
        <f>VLOOKUP($B7,基础表!$A$16:$U$24,COLUMN(基础表!O3),0)</f>
        <v>#N/A</v>
      </c>
      <c r="P7" s="33" t="e">
        <f>VLOOKUP($B7,基础表!$A$16:$U$24,COLUMN(基础表!P3),0)</f>
        <v>#N/A</v>
      </c>
      <c r="Q7" s="136" t="e">
        <f>VLOOKUP($B7,基础表!$A$16:$U$24,COLUMN(基础表!Q3),0)</f>
        <v>#N/A</v>
      </c>
      <c r="R7" s="34" t="e">
        <f>VLOOKUP($B7,基础表!$A$16:$U$24,COLUMN(基础表!R3),0)</f>
        <v>#N/A</v>
      </c>
      <c r="S7" s="34" t="e">
        <f>VLOOKUP($B7,基础表!$A$16:$U$24,COLUMN(基础表!S3),0)</f>
        <v>#N/A</v>
      </c>
      <c r="T7" s="34" t="e">
        <f>VLOOKUP($B7,基础表!$A$16:$U$24,COLUMN(基础表!T3),0)</f>
        <v>#N/A</v>
      </c>
      <c r="U7" s="35" t="e">
        <f>VLOOKUP($B7,基础表!$A$16:$U$24,COLUMN(基础表!U3),0)</f>
        <v>#N/A</v>
      </c>
      <c r="V7" s="98" t="e">
        <f>VLOOKUP($B7,基础表!$A$5:$U$10,COLUMN(基础表!V3),0)</f>
        <v>#N/A</v>
      </c>
      <c r="W7" s="99" t="e">
        <f>VLOOKUP($B7,基础表!$A$5:$U$10,COLUMN(基础表!W3),0)</f>
        <v>#N/A</v>
      </c>
      <c r="X7" s="100" t="e">
        <f>VLOOKUP($B7,基础表!$A$5:$U$10,COLUMN(基础表!X3),0)</f>
        <v>#N/A</v>
      </c>
    </row>
    <row r="8" spans="2:24" hidden="1" x14ac:dyDescent="0.2">
      <c r="B8" s="31">
        <v>4</v>
      </c>
      <c r="C8" s="32" t="e">
        <f>VLOOKUP($B8,基础表!$A$16:$U$24,COLUMN(基础表!D4),0)</f>
        <v>#N/A</v>
      </c>
      <c r="D8" s="152"/>
      <c r="E8" s="98" t="e">
        <f>VLOOKUP($B8,基础表!$A$16:$U$24,COLUMN(基础表!E4),0)</f>
        <v>#N/A</v>
      </c>
      <c r="F8" s="99" t="e">
        <f>VLOOKUP($B8,基础表!$A$16:$U$24,COLUMN(基础表!F4),0)</f>
        <v>#N/A</v>
      </c>
      <c r="G8" s="100" t="e">
        <f>VLOOKUP($B8,基础表!$A$16:$U$24,COLUMN(基础表!G4),0)</f>
        <v>#N/A</v>
      </c>
      <c r="H8" s="33" t="e">
        <f>VLOOKUP($B8,基础表!$A$16:$U$24,COLUMN(基础表!H4),0)</f>
        <v>#N/A</v>
      </c>
      <c r="I8" s="34" t="e">
        <f>VLOOKUP($B8,基础表!$A$16:$U$24,COLUMN(基础表!I4),0)</f>
        <v>#N/A</v>
      </c>
      <c r="J8" s="35" t="e">
        <f>VLOOKUP($B8,基础表!$A$16:$U$24,COLUMN(基础表!J4),0)</f>
        <v>#N/A</v>
      </c>
      <c r="K8" s="98" t="e">
        <f>VLOOKUP($B8,基础表!$A$16:$U$24,COLUMN(基础表!K4),0)</f>
        <v>#N/A</v>
      </c>
      <c r="L8" s="114" t="e">
        <f>VLOOKUP($B8,基础表!$A$16:$U$24,COLUMN(基础表!L4),0)</f>
        <v>#N/A</v>
      </c>
      <c r="M8" s="34" t="e">
        <f>VLOOKUP($B8,基础表!$A$16:$U$24,COLUMN(基础表!M4),0)</f>
        <v>#N/A</v>
      </c>
      <c r="N8" s="114" t="e">
        <f>VLOOKUP($B8,基础表!$A$16:$U$24,COLUMN(基础表!N4),0)</f>
        <v>#N/A</v>
      </c>
      <c r="O8" s="35" t="e">
        <f>VLOOKUP($B8,基础表!$A$16:$U$24,COLUMN(基础表!O4),0)</f>
        <v>#N/A</v>
      </c>
      <c r="P8" s="33" t="e">
        <f>VLOOKUP($B8,基础表!$A$16:$U$24,COLUMN(基础表!P4),0)</f>
        <v>#N/A</v>
      </c>
      <c r="Q8" s="136" t="e">
        <f>VLOOKUP($B8,基础表!$A$16:$U$24,COLUMN(基础表!Q4),0)</f>
        <v>#N/A</v>
      </c>
      <c r="R8" s="34" t="e">
        <f>VLOOKUP($B8,基础表!$A$16:$U$24,COLUMN(基础表!R4),0)</f>
        <v>#N/A</v>
      </c>
      <c r="S8" s="34" t="e">
        <f>VLOOKUP($B8,基础表!$A$16:$U$24,COLUMN(基础表!S4),0)</f>
        <v>#N/A</v>
      </c>
      <c r="T8" s="34" t="e">
        <f>VLOOKUP($B8,基础表!$A$16:$U$24,COLUMN(基础表!T4),0)</f>
        <v>#N/A</v>
      </c>
      <c r="U8" s="35" t="e">
        <f>VLOOKUP($B8,基础表!$A$16:$U$24,COLUMN(基础表!U4),0)</f>
        <v>#N/A</v>
      </c>
      <c r="V8" s="98" t="e">
        <f>VLOOKUP($B8,基础表!$A$5:$U$10,COLUMN(基础表!V4),0)</f>
        <v>#N/A</v>
      </c>
      <c r="W8" s="99" t="e">
        <f>VLOOKUP($B8,基础表!$A$5:$U$10,COLUMN(基础表!W4),0)</f>
        <v>#N/A</v>
      </c>
      <c r="X8" s="100" t="e">
        <f>VLOOKUP($B8,基础表!$A$5:$U$10,COLUMN(基础表!X4),0)</f>
        <v>#N/A</v>
      </c>
    </row>
    <row r="9" spans="2:24" hidden="1" x14ac:dyDescent="0.2">
      <c r="B9" s="31">
        <v>5</v>
      </c>
      <c r="C9" s="32" t="e">
        <f>VLOOKUP($B9,基础表!$A$16:$U$24,COLUMN(基础表!D5),0)</f>
        <v>#N/A</v>
      </c>
      <c r="D9" s="152"/>
      <c r="E9" s="98" t="e">
        <f>VLOOKUP($B9,基础表!$A$16:$U$24,COLUMN(基础表!E5),0)</f>
        <v>#N/A</v>
      </c>
      <c r="F9" s="99" t="e">
        <f>VLOOKUP($B9,基础表!$A$16:$U$24,COLUMN(基础表!F5),0)</f>
        <v>#N/A</v>
      </c>
      <c r="G9" s="100" t="e">
        <f>VLOOKUP($B9,基础表!$A$16:$U$24,COLUMN(基础表!G5),0)</f>
        <v>#N/A</v>
      </c>
      <c r="H9" s="33" t="e">
        <f>VLOOKUP($B9,基础表!$A$16:$U$24,COLUMN(基础表!H5),0)</f>
        <v>#N/A</v>
      </c>
      <c r="I9" s="34" t="e">
        <f>VLOOKUP($B9,基础表!$A$16:$U$24,COLUMN(基础表!I5),0)</f>
        <v>#N/A</v>
      </c>
      <c r="J9" s="35" t="e">
        <f>VLOOKUP($B9,基础表!$A$16:$U$24,COLUMN(基础表!J5),0)</f>
        <v>#N/A</v>
      </c>
      <c r="K9" s="98" t="e">
        <f>VLOOKUP($B9,基础表!$A$16:$U$24,COLUMN(基础表!K5),0)</f>
        <v>#N/A</v>
      </c>
      <c r="L9" s="114" t="e">
        <f>VLOOKUP($B9,基础表!$A$16:$U$24,COLUMN(基础表!L5),0)</f>
        <v>#N/A</v>
      </c>
      <c r="M9" s="34" t="e">
        <f>VLOOKUP($B9,基础表!$A$16:$U$24,COLUMN(基础表!M5),0)</f>
        <v>#N/A</v>
      </c>
      <c r="N9" s="114" t="e">
        <f>VLOOKUP($B9,基础表!$A$16:$U$24,COLUMN(基础表!N5),0)</f>
        <v>#N/A</v>
      </c>
      <c r="O9" s="35" t="e">
        <f>VLOOKUP($B9,基础表!$A$16:$U$24,COLUMN(基础表!O5),0)</f>
        <v>#N/A</v>
      </c>
      <c r="P9" s="33" t="e">
        <f>VLOOKUP($B9,基础表!$A$16:$U$24,COLUMN(基础表!P5),0)</f>
        <v>#N/A</v>
      </c>
      <c r="Q9" s="136" t="e">
        <f>VLOOKUP($B9,基础表!$A$16:$U$24,COLUMN(基础表!Q5),0)</f>
        <v>#N/A</v>
      </c>
      <c r="R9" s="34" t="e">
        <f>VLOOKUP($B9,基础表!$A$16:$U$24,COLUMN(基础表!R5),0)</f>
        <v>#N/A</v>
      </c>
      <c r="S9" s="34" t="e">
        <f>VLOOKUP($B9,基础表!$A$16:$U$24,COLUMN(基础表!S5),0)</f>
        <v>#N/A</v>
      </c>
      <c r="T9" s="34" t="e">
        <f>VLOOKUP($B9,基础表!$A$16:$U$24,COLUMN(基础表!T5),0)</f>
        <v>#N/A</v>
      </c>
      <c r="U9" s="35" t="e">
        <f>VLOOKUP($B9,基础表!$A$16:$U$24,COLUMN(基础表!U5),0)</f>
        <v>#N/A</v>
      </c>
      <c r="V9" s="98" t="e">
        <f>VLOOKUP($B9,基础表!$A$5:$U$10,COLUMN(基础表!V5),0)</f>
        <v>#N/A</v>
      </c>
      <c r="W9" s="99" t="e">
        <f>VLOOKUP($B9,基础表!$A$5:$U$10,COLUMN(基础表!W5),0)</f>
        <v>#N/A</v>
      </c>
      <c r="X9" s="100" t="e">
        <f>VLOOKUP($B9,基础表!$A$5:$U$10,COLUMN(基础表!X5),0)</f>
        <v>#N/A</v>
      </c>
    </row>
    <row r="10" spans="2:24" hidden="1" x14ac:dyDescent="0.2">
      <c r="B10" s="31">
        <v>6</v>
      </c>
      <c r="C10" s="32" t="e">
        <f>VLOOKUP($B10,基础表!$A$16:$U$24,COLUMN(基础表!D6),0)</f>
        <v>#N/A</v>
      </c>
      <c r="D10" s="152"/>
      <c r="E10" s="98" t="e">
        <f>VLOOKUP($B10,基础表!$A$16:$U$24,COLUMN(基础表!E6),0)</f>
        <v>#N/A</v>
      </c>
      <c r="F10" s="99" t="e">
        <f>VLOOKUP($B10,基础表!$A$16:$U$24,COLUMN(基础表!F6),0)</f>
        <v>#N/A</v>
      </c>
      <c r="G10" s="100" t="e">
        <f>VLOOKUP($B10,基础表!$A$16:$U$24,COLUMN(基础表!G6),0)</f>
        <v>#N/A</v>
      </c>
      <c r="H10" s="33" t="e">
        <f>VLOOKUP($B10,基础表!$A$16:$U$24,COLUMN(基础表!H6),0)</f>
        <v>#N/A</v>
      </c>
      <c r="I10" s="34" t="e">
        <f>VLOOKUP($B10,基础表!$A$16:$U$24,COLUMN(基础表!I6),0)</f>
        <v>#N/A</v>
      </c>
      <c r="J10" s="35" t="e">
        <f>VLOOKUP($B10,基础表!$A$16:$U$24,COLUMN(基础表!J6),0)</f>
        <v>#N/A</v>
      </c>
      <c r="K10" s="98" t="e">
        <f>VLOOKUP($B10,基础表!$A$16:$U$24,COLUMN(基础表!K6),0)</f>
        <v>#N/A</v>
      </c>
      <c r="L10" s="114" t="e">
        <f>VLOOKUP($B10,基础表!$A$16:$U$24,COLUMN(基础表!L6),0)</f>
        <v>#N/A</v>
      </c>
      <c r="M10" s="34" t="e">
        <f>VLOOKUP($B10,基础表!$A$16:$U$24,COLUMN(基础表!M6),0)</f>
        <v>#N/A</v>
      </c>
      <c r="N10" s="114" t="e">
        <f>VLOOKUP($B10,基础表!$A$16:$U$24,COLUMN(基础表!N6),0)</f>
        <v>#N/A</v>
      </c>
      <c r="O10" s="35" t="e">
        <f>VLOOKUP($B10,基础表!$A$16:$U$24,COLUMN(基础表!O6),0)</f>
        <v>#N/A</v>
      </c>
      <c r="P10" s="33" t="e">
        <f>VLOOKUP($B10,基础表!$A$16:$U$24,COLUMN(基础表!P6),0)</f>
        <v>#N/A</v>
      </c>
      <c r="Q10" s="136" t="e">
        <f>VLOOKUP($B10,基础表!$A$16:$U$24,COLUMN(基础表!Q6),0)</f>
        <v>#N/A</v>
      </c>
      <c r="R10" s="34" t="e">
        <f>VLOOKUP($B10,基础表!$A$16:$U$24,COLUMN(基础表!R6),0)</f>
        <v>#N/A</v>
      </c>
      <c r="S10" s="34" t="e">
        <f>VLOOKUP($B10,基础表!$A$16:$U$24,COLUMN(基础表!S6),0)</f>
        <v>#N/A</v>
      </c>
      <c r="T10" s="34" t="e">
        <f>VLOOKUP($B10,基础表!$A$16:$U$24,COLUMN(基础表!T6),0)</f>
        <v>#N/A</v>
      </c>
      <c r="U10" s="35" t="e">
        <f>VLOOKUP($B10,基础表!$A$16:$U$24,COLUMN(基础表!U6),0)</f>
        <v>#N/A</v>
      </c>
      <c r="V10" s="101" t="e">
        <f>VLOOKUP($B10,基础表!$A$5:$U$10,COLUMN(基础表!V6),0)</f>
        <v>#N/A</v>
      </c>
      <c r="W10" s="102" t="e">
        <f>VLOOKUP($B10,基础表!$A$5:$U$10,COLUMN(基础表!W6),0)</f>
        <v>#N/A</v>
      </c>
      <c r="X10" s="103" t="e">
        <f>VLOOKUP($B10,基础表!$A$5:$U$10,COLUMN(基础表!X6),0)</f>
        <v>#N/A</v>
      </c>
    </row>
    <row r="11" spans="2:24" hidden="1" x14ac:dyDescent="0.2">
      <c r="B11" s="36">
        <v>7</v>
      </c>
      <c r="C11" s="37" t="e">
        <f>VLOOKUP($B11,基础表!$A$16:$U$24,COLUMN(基础表!D7),0)</f>
        <v>#N/A</v>
      </c>
      <c r="D11" s="153"/>
      <c r="E11" s="101" t="e">
        <f>VLOOKUP($B11,基础表!$A$16:$U$24,COLUMN(基础表!E7),0)</f>
        <v>#N/A</v>
      </c>
      <c r="F11" s="102" t="e">
        <f>VLOOKUP($B11,基础表!$A$16:$U$24,COLUMN(基础表!F7),0)</f>
        <v>#N/A</v>
      </c>
      <c r="G11" s="103" t="e">
        <f>VLOOKUP($B11,基础表!$A$16:$U$24,COLUMN(基础表!G7),0)</f>
        <v>#N/A</v>
      </c>
      <c r="H11" s="38" t="e">
        <f>VLOOKUP($B11,基础表!$A$16:$U$24,COLUMN(基础表!H7),0)</f>
        <v>#N/A</v>
      </c>
      <c r="I11" s="39" t="e">
        <f>VLOOKUP($B11,基础表!$A$16:$U$24,COLUMN(基础表!I7),0)</f>
        <v>#N/A</v>
      </c>
      <c r="J11" s="40" t="e">
        <f>VLOOKUP($B11,基础表!$A$16:$U$24,COLUMN(基础表!J7),0)</f>
        <v>#N/A</v>
      </c>
      <c r="K11" s="101" t="e">
        <f>VLOOKUP($B11,基础表!$A$16:$U$24,COLUMN(基础表!K7),0)</f>
        <v>#N/A</v>
      </c>
      <c r="L11" s="115" t="e">
        <f>VLOOKUP($B11,基础表!$A$16:$U$24,COLUMN(基础表!L7),0)</f>
        <v>#N/A</v>
      </c>
      <c r="M11" s="39" t="e">
        <f>VLOOKUP($B11,基础表!$A$16:$U$24,COLUMN(基础表!M7),0)</f>
        <v>#N/A</v>
      </c>
      <c r="N11" s="115" t="e">
        <f>VLOOKUP($B11,基础表!$A$16:$U$24,COLUMN(基础表!N7),0)</f>
        <v>#N/A</v>
      </c>
      <c r="O11" s="40" t="e">
        <f>VLOOKUP($B11,基础表!$A$16:$U$24,COLUMN(基础表!O7),0)</f>
        <v>#N/A</v>
      </c>
      <c r="P11" s="38" t="e">
        <f>VLOOKUP($B11,基础表!$A$16:$U$24,COLUMN(基础表!P7),0)</f>
        <v>#N/A</v>
      </c>
      <c r="Q11" s="137" t="e">
        <f>VLOOKUP($B11,基础表!$A$16:$U$24,COLUMN(基础表!Q7),0)</f>
        <v>#N/A</v>
      </c>
      <c r="R11" s="39" t="e">
        <f>VLOOKUP($B11,基础表!$A$16:$U$24,COLUMN(基础表!R7),0)</f>
        <v>#N/A</v>
      </c>
      <c r="S11" s="39" t="e">
        <f>VLOOKUP($B11,基础表!$A$16:$U$24,COLUMN(基础表!S7),0)</f>
        <v>#N/A</v>
      </c>
      <c r="T11" s="39" t="e">
        <f>VLOOKUP($B11,基础表!$A$16:$U$24,COLUMN(基础表!T7),0)</f>
        <v>#N/A</v>
      </c>
      <c r="U11" s="40" t="e">
        <f>VLOOKUP($B11,基础表!$A$16:$U$24,COLUMN(基础表!U7),0)</f>
        <v>#N/A</v>
      </c>
      <c r="V11" s="104" t="e">
        <f>VLOOKUP($B11,'4'!$A$6:$AK$24,COLUMN('4'!AR$1),0)</f>
        <v>#REF!</v>
      </c>
      <c r="W11" s="105" t="e">
        <f>VLOOKUP($B11,'4'!$A$6:$AK$24,COLUMN('4'!AS$1),0)</f>
        <v>#REF!</v>
      </c>
      <c r="X11" s="106" t="e">
        <f>VLOOKUP($B11,'4'!$A$6:$AK$24,COLUMN('4'!AT$1),0)</f>
        <v>#REF!</v>
      </c>
    </row>
    <row r="12" spans="2:24" hidden="1" x14ac:dyDescent="0.2">
      <c r="B12" s="41">
        <v>1</v>
      </c>
      <c r="C12" s="56" t="str">
        <f>VLOOKUP($B12,'4'!$A$25:$AK$55,COLUMN('4'!Z$1),0)</f>
        <v>东宁绿和</v>
      </c>
      <c r="D12" s="156" t="str">
        <f>VLOOKUP(C12,'4'!AL:AM,2,0)</f>
        <v>牡丹江城区所</v>
      </c>
      <c r="E12" s="116">
        <f>VLOOKUP($B12,'4'!$A$25:$AK$55,COLUMN('4'!AA$1),0)</f>
        <v>122</v>
      </c>
      <c r="F12" s="117">
        <f>VLOOKUP($B12,'4'!$A$25:$AK$55,COLUMN('4'!AB$1),0)</f>
        <v>310</v>
      </c>
      <c r="G12" s="118">
        <f>VLOOKUP($B12,'4'!$A$25:$AK$55,COLUMN('4'!AC$1),0)</f>
        <v>210</v>
      </c>
      <c r="H12" s="57">
        <f>VLOOKUP($B12,'4'!$A$25:$AK$55,COLUMN('4'!AD$1),0)</f>
        <v>-0.48085106382978726</v>
      </c>
      <c r="I12" s="58">
        <f>VLOOKUP($B12,'4'!$A$25:$AK$55,COLUMN('4'!AE$1),0)</f>
        <v>-1.5873015873015928E-2</v>
      </c>
      <c r="J12" s="59">
        <f>VLOOKUP($B12,'4'!$A$25:$AK$55,COLUMN('4'!AF$1),0)</f>
        <v>0.29629629629629628</v>
      </c>
      <c r="K12" s="116">
        <f>VLOOKUP($B12,'4'!$A$25:$AK$55,COLUMN('4'!AG$1),0)</f>
        <v>625</v>
      </c>
      <c r="L12" s="105">
        <f>VLOOKUP($B12,'4'!$A$25:$AK$55,COLUMN('4'!AH$1),0)</f>
        <v>200</v>
      </c>
      <c r="M12" s="58">
        <f>VLOOKUP($B12,'4'!$A$25:$AK$55,COLUMN('4'!AI$1),0)</f>
        <v>2.125</v>
      </c>
      <c r="N12" s="105">
        <f>VLOOKUP($B12,'4'!$A$25:$AK$55,COLUMN('4'!AJ$1),0)</f>
        <v>625</v>
      </c>
      <c r="O12" s="45">
        <f>VLOOKUP($B12,'4'!$A$25:$AK$55,COLUMN('4'!AK$1),0)</f>
        <v>1</v>
      </c>
      <c r="P12" s="57">
        <f>IFERROR(VLOOKUP($C12,Sheet5!$C:$K,COLUMN(Sheet5!D$2)-2,0),"")</f>
        <v>0.43689320388349501</v>
      </c>
      <c r="Q12" s="141">
        <f>IFERROR(VLOOKUP($C12,Sheet5!$C:$K,COLUMN(Sheet5!E$2)-2,0),"")</f>
        <v>0.71631205673758902</v>
      </c>
      <c r="R12" s="58">
        <f>IFERROR(VLOOKUP($C12,Sheet5!$C:$K,COLUMN(Sheet5!F$2)-2,0),"")</f>
        <v>0.73660714285714302</v>
      </c>
      <c r="S12" s="58">
        <f>IFERROR(VLOOKUP($C12,Sheet5!$C:$K,COLUMN(Sheet5!G$2)-2,0),"")</f>
        <v>1</v>
      </c>
      <c r="T12" s="58">
        <f>IFERROR(VLOOKUP($C12,Sheet5!$C:$K,COLUMN(Sheet5!H$2)-2,0),"")</f>
        <v>0.85106382978723405</v>
      </c>
      <c r="U12" s="59">
        <f>IFERROR(VLOOKUP($C12,Sheet5!$C:$K,COLUMN(Sheet5!I$2)-2,0),"")</f>
        <v>1</v>
      </c>
      <c r="V12" s="107" t="e">
        <f>VLOOKUP($B12,'4'!$A$6:$AK$24,COLUMN('4'!AR$1),0)</f>
        <v>#REF!</v>
      </c>
      <c r="W12" s="108" t="e">
        <f>VLOOKUP($B12,'4'!$A$6:$AK$24,COLUMN('4'!AS$1),0)</f>
        <v>#REF!</v>
      </c>
      <c r="X12" s="109" t="e">
        <f>VLOOKUP($B12,'4'!$A$6:$AK$24,COLUMN('4'!AT$1),0)</f>
        <v>#REF!</v>
      </c>
    </row>
    <row r="13" spans="2:24" hidden="1" x14ac:dyDescent="0.2">
      <c r="B13" s="46">
        <v>2</v>
      </c>
      <c r="C13" s="60" t="str">
        <f>VLOOKUP($B13,'4'!$A$25:$AK$55,COLUMN('4'!Z$1),0)</f>
        <v>同江晏伊</v>
      </c>
      <c r="D13" s="157" t="str">
        <f>VLOOKUP(C13,'4'!AL:AM,2,0)</f>
        <v>双鸭山外埠所</v>
      </c>
      <c r="E13" s="119">
        <f>VLOOKUP($B13,'4'!$A$25:$AK$55,COLUMN('4'!AA$1),0)</f>
        <v>234</v>
      </c>
      <c r="F13" s="120">
        <f>VLOOKUP($B13,'4'!$A$25:$AK$55,COLUMN('4'!AB$1),0)</f>
        <v>165</v>
      </c>
      <c r="G13" s="121">
        <f>VLOOKUP($B13,'4'!$A$25:$AK$55,COLUMN('4'!AC$1),0)</f>
        <v>140</v>
      </c>
      <c r="H13" s="61">
        <f>VLOOKUP($B13,'4'!$A$25:$AK$55,COLUMN('4'!AD$1),0)</f>
        <v>0.30000000000000004</v>
      </c>
      <c r="I13" s="62">
        <f>VLOOKUP($B13,'4'!$A$25:$AK$55,COLUMN('4'!AE$1),0)</f>
        <v>-2.9411764705882359E-2</v>
      </c>
      <c r="J13" s="63">
        <f>VLOOKUP($B13,'4'!$A$25:$AK$55,COLUMN('4'!AF$1),0)</f>
        <v>-0.14110429447852757</v>
      </c>
      <c r="K13" s="119">
        <f>VLOOKUP($B13,'4'!$A$25:$AK$55,COLUMN('4'!AG$1),0)</f>
        <v>433.75</v>
      </c>
      <c r="L13" s="108">
        <f>VLOOKUP($B13,'4'!$A$25:$AK$55,COLUMN('4'!AH$1),0)</f>
        <v>200</v>
      </c>
      <c r="M13" s="62">
        <f>VLOOKUP($B13,'4'!$A$25:$AK$55,COLUMN('4'!AI$1),0)</f>
        <v>1.1687500000000002</v>
      </c>
      <c r="N13" s="108">
        <f>VLOOKUP($B13,'4'!$A$25:$AK$55,COLUMN('4'!AJ$1),0)</f>
        <v>433.75</v>
      </c>
      <c r="O13" s="50">
        <f>VLOOKUP($B13,'4'!$A$25:$AK$55,COLUMN('4'!AK$1),0)</f>
        <v>1</v>
      </c>
      <c r="P13" s="61">
        <f>IFERROR(VLOOKUP($C13,Sheet5!$C:$K,COLUMN(Sheet5!D$2)-2,0),"")</f>
        <v>0.75257731958762908</v>
      </c>
      <c r="Q13" s="142">
        <f>IFERROR(VLOOKUP($C13,Sheet5!$C:$K,COLUMN(Sheet5!E$2)-2,0),"")</f>
        <v>0.22222222222222199</v>
      </c>
      <c r="R13" s="62">
        <f>IFERROR(VLOOKUP($C13,Sheet5!$C:$K,COLUMN(Sheet5!F$2)-2,0),"")</f>
        <v>0.33484162895927594</v>
      </c>
      <c r="S13" s="62">
        <f>IFERROR(VLOOKUP($C13,Sheet5!$C:$K,COLUMN(Sheet5!G$2)-2,0),"")</f>
        <v>0.8</v>
      </c>
      <c r="T13" s="62">
        <f>IFERROR(VLOOKUP($C13,Sheet5!$C:$K,COLUMN(Sheet5!H$2)-2,0),"")</f>
        <v>0.46621621621621601</v>
      </c>
      <c r="U13" s="63">
        <f>IFERROR(VLOOKUP($C13,Sheet5!$C:$K,COLUMN(Sheet5!I$2)-2,0),"")</f>
        <v>1</v>
      </c>
      <c r="V13" s="107" t="e">
        <f>VLOOKUP($B13,'4'!$A$6:$AK$24,COLUMN('4'!AR$1),0)</f>
        <v>#REF!</v>
      </c>
      <c r="W13" s="108" t="e">
        <f>VLOOKUP($B13,'4'!$A$6:$AK$24,COLUMN('4'!AS$1),0)</f>
        <v>#REF!</v>
      </c>
      <c r="X13" s="109" t="e">
        <f>VLOOKUP($B13,'4'!$A$6:$AK$24,COLUMN('4'!AT$1),0)</f>
        <v>#REF!</v>
      </c>
    </row>
    <row r="14" spans="2:24" hidden="1" x14ac:dyDescent="0.2">
      <c r="B14" s="46">
        <v>3</v>
      </c>
      <c r="C14" s="60" t="str">
        <f>VLOOKUP($B14,'4'!$A$25:$AK$55,COLUMN('4'!Z$1),0)</f>
        <v>鸡西红燕</v>
      </c>
      <c r="D14" s="157" t="str">
        <f>VLOOKUP(C14,'4'!AL:AM,2,0)</f>
        <v>鸡西城区所</v>
      </c>
      <c r="E14" s="119">
        <f>VLOOKUP($B14,'4'!$A$25:$AK$55,COLUMN('4'!AA$1),0)</f>
        <v>285</v>
      </c>
      <c r="F14" s="120">
        <f>VLOOKUP($B14,'4'!$A$25:$AK$55,COLUMN('4'!AB$1),0)</f>
        <v>269</v>
      </c>
      <c r="G14" s="121">
        <f>VLOOKUP($B14,'4'!$A$25:$AK$55,COLUMN('4'!AC$1),0)</f>
        <v>287</v>
      </c>
      <c r="H14" s="61">
        <f>VLOOKUP($B14,'4'!$A$25:$AK$55,COLUMN('4'!AD$1),0)</f>
        <v>-9.5238095238095344E-2</v>
      </c>
      <c r="I14" s="62">
        <f>VLOOKUP($B14,'4'!$A$25:$AK$55,COLUMN('4'!AE$1),0)</f>
        <v>-2.8880866425992857E-2</v>
      </c>
      <c r="J14" s="63">
        <f>VLOOKUP($B14,'4'!$A$25:$AK$55,COLUMN('4'!AF$1),0)</f>
        <v>-0.45643939393939403</v>
      </c>
      <c r="K14" s="119">
        <f>VLOOKUP($B14,'4'!$A$25:$AK$55,COLUMN('4'!AG$1),0)</f>
        <v>358.75</v>
      </c>
      <c r="L14" s="108">
        <f>VLOOKUP($B14,'4'!$A$25:$AK$55,COLUMN('4'!AH$1),0)</f>
        <v>225</v>
      </c>
      <c r="M14" s="62">
        <f>VLOOKUP($B14,'4'!$A$25:$AK$55,COLUMN('4'!AI$1),0)</f>
        <v>0.59444444444444455</v>
      </c>
      <c r="N14" s="108">
        <f>VLOOKUP($B14,'4'!$A$25:$AK$55,COLUMN('4'!AJ$1),0)</f>
        <v>358.75</v>
      </c>
      <c r="O14" s="50">
        <f>VLOOKUP($B14,'4'!$A$25:$AK$55,COLUMN('4'!AK$1),0)</f>
        <v>1</v>
      </c>
      <c r="P14" s="61">
        <f>IFERROR(VLOOKUP($C14,Sheet5!$C:$K,COLUMN(Sheet5!D$2)-2,0),"")</f>
        <v>0.86754966887417195</v>
      </c>
      <c r="Q14" s="142">
        <f>IFERROR(VLOOKUP($C14,Sheet5!$C:$K,COLUMN(Sheet5!E$2)-2,0),"")</f>
        <v>0.25757575757575801</v>
      </c>
      <c r="R14" s="62">
        <f>IFERROR(VLOOKUP($C14,Sheet5!$C:$K,COLUMN(Sheet5!F$2)-2,0),"")</f>
        <v>0.30026809651474501</v>
      </c>
      <c r="S14" s="62">
        <f>IFERROR(VLOOKUP($C14,Sheet5!$C:$K,COLUMN(Sheet5!G$2)-2,0),"")</f>
        <v>0.66666666666666696</v>
      </c>
      <c r="T14" s="62">
        <f>IFERROR(VLOOKUP($C14,Sheet5!$C:$K,COLUMN(Sheet5!H$2)-2,0),"")</f>
        <v>0.28735632183908</v>
      </c>
      <c r="U14" s="63">
        <f>IFERROR(VLOOKUP($C14,Sheet5!$C:$K,COLUMN(Sheet5!I$2)-2,0),"")</f>
        <v>0.66666666666666696</v>
      </c>
      <c r="V14" s="107" t="e">
        <f>VLOOKUP($B14,'4'!$A$6:$AK$24,COLUMN('4'!AR$1),0)</f>
        <v>#REF!</v>
      </c>
      <c r="W14" s="108" t="e">
        <f>VLOOKUP($B14,'4'!$A$6:$AK$24,COLUMN('4'!AS$1),0)</f>
        <v>#REF!</v>
      </c>
      <c r="X14" s="109" t="e">
        <f>VLOOKUP($B14,'4'!$A$6:$AK$24,COLUMN('4'!AT$1),0)</f>
        <v>#REF!</v>
      </c>
    </row>
    <row r="15" spans="2:24" hidden="1" x14ac:dyDescent="0.2">
      <c r="B15" s="46">
        <v>4</v>
      </c>
      <c r="C15" s="60" t="str">
        <f>VLOOKUP($B15,'4'!$A$25:$AK$55,COLUMN('4'!Z$1),0)</f>
        <v>绥芬万泽</v>
      </c>
      <c r="D15" s="157" t="str">
        <f>VLOOKUP(C15,'4'!AL:AM,2,0)</f>
        <v>牡丹江城区所</v>
      </c>
      <c r="E15" s="119">
        <f>VLOOKUP($B15,'4'!$A$25:$AK$55,COLUMN('4'!AA$1),0)</f>
        <v>272</v>
      </c>
      <c r="F15" s="120">
        <f>VLOOKUP($B15,'4'!$A$25:$AK$55,COLUMN('4'!AB$1),0)</f>
        <v>245</v>
      </c>
      <c r="G15" s="121">
        <f>VLOOKUP($B15,'4'!$A$25:$AK$55,COLUMN('4'!AC$1),0)</f>
        <v>100</v>
      </c>
      <c r="H15" s="61">
        <f>VLOOKUP($B15,'4'!$A$25:$AK$55,COLUMN('4'!AD$1),0)</f>
        <v>-6.2068965517241281E-2</v>
      </c>
      <c r="I15" s="62">
        <f>VLOOKUP($B15,'4'!$A$25:$AK$55,COLUMN('4'!AE$1),0)</f>
        <v>-2.3904382470119501E-2</v>
      </c>
      <c r="J15" s="63">
        <f>VLOOKUP($B15,'4'!$A$25:$AK$55,COLUMN('4'!AF$1),0)</f>
        <v>-0.34640522875816993</v>
      </c>
      <c r="K15" s="119">
        <f>VLOOKUP($B15,'4'!$A$25:$AK$55,COLUMN('4'!AG$1),0)</f>
        <v>313.75</v>
      </c>
      <c r="L15" s="108">
        <f>VLOOKUP($B15,'4'!$A$25:$AK$55,COLUMN('4'!AH$1),0)</f>
        <v>200</v>
      </c>
      <c r="M15" s="62">
        <f>VLOOKUP($B15,'4'!$A$25:$AK$55,COLUMN('4'!AI$1),0)</f>
        <v>0.56875000000000009</v>
      </c>
      <c r="N15" s="108">
        <f>VLOOKUP($B15,'4'!$A$25:$AK$55,COLUMN('4'!AJ$1),0)</f>
        <v>313.75</v>
      </c>
      <c r="O15" s="50">
        <f>VLOOKUP($B15,'4'!$A$25:$AK$55,COLUMN('4'!AK$1),0)</f>
        <v>1</v>
      </c>
      <c r="P15" s="61">
        <f>IFERROR(VLOOKUP($C15,Sheet5!$C:$K,COLUMN(Sheet5!D$2)-2,0),"")</f>
        <v>0.75</v>
      </c>
      <c r="Q15" s="142">
        <f>IFERROR(VLOOKUP($C15,Sheet5!$C:$K,COLUMN(Sheet5!E$2)-2,0),"")</f>
        <v>0.60792951541850204</v>
      </c>
      <c r="R15" s="62">
        <f>IFERROR(VLOOKUP($C15,Sheet5!$C:$K,COLUMN(Sheet5!F$2)-2,0),"")</f>
        <v>0.625925925925926</v>
      </c>
      <c r="S15" s="62">
        <f>IFERROR(VLOOKUP($C15,Sheet5!$C:$K,COLUMN(Sheet5!G$2)-2,0),"")</f>
        <v>1</v>
      </c>
      <c r="T15" s="62">
        <f>IFERROR(VLOOKUP($C15,Sheet5!$C:$K,COLUMN(Sheet5!H$2)-2,0),"")</f>
        <v>0.59030837004405301</v>
      </c>
      <c r="U15" s="63">
        <f>IFERROR(VLOOKUP($C15,Sheet5!$C:$K,COLUMN(Sheet5!I$2)-2,0),"")</f>
        <v>0.75</v>
      </c>
      <c r="V15" s="107" t="e">
        <f>VLOOKUP($B15,'4'!$A$6:$AK$24,COLUMN('4'!AR$1),0)</f>
        <v>#REF!</v>
      </c>
      <c r="W15" s="108" t="e">
        <f>VLOOKUP($B15,'4'!$A$6:$AK$24,COLUMN('4'!AS$1),0)</f>
        <v>#REF!</v>
      </c>
      <c r="X15" s="109" t="e">
        <f>VLOOKUP($B15,'4'!$A$6:$AK$24,COLUMN('4'!AT$1),0)</f>
        <v>#REF!</v>
      </c>
    </row>
    <row r="16" spans="2:24" hidden="1" x14ac:dyDescent="0.2">
      <c r="B16" s="46">
        <v>5</v>
      </c>
      <c r="C16" s="60" t="str">
        <f>VLOOKUP($B16,'4'!$A$25:$AK$55,COLUMN('4'!Z$1),0)</f>
        <v>穆棱国旺</v>
      </c>
      <c r="D16" s="157" t="str">
        <f>VLOOKUP(C16,'4'!AL:AM,2,0)</f>
        <v>七台河外埠所</v>
      </c>
      <c r="E16" s="119">
        <f>VLOOKUP($B16,'4'!$A$25:$AK$55,COLUMN('4'!AA$1),0)</f>
        <v>255</v>
      </c>
      <c r="F16" s="120">
        <f>VLOOKUP($B16,'4'!$A$25:$AK$55,COLUMN('4'!AB$1),0)</f>
        <v>240</v>
      </c>
      <c r="G16" s="121">
        <f>VLOOKUP($B16,'4'!$A$25:$AK$55,COLUMN('4'!AC$1),0)</f>
        <v>180</v>
      </c>
      <c r="H16" s="61">
        <f>VLOOKUP($B16,'4'!$A$25:$AK$55,COLUMN('4'!AD$1),0)</f>
        <v>-9.574468085106369E-2</v>
      </c>
      <c r="I16" s="62">
        <f>VLOOKUP($B16,'4'!$A$25:$AK$55,COLUMN('4'!AE$1),0)</f>
        <v>-2.0408163265306145E-2</v>
      </c>
      <c r="J16" s="63">
        <f>VLOOKUP($B16,'4'!$A$25:$AK$55,COLUMN('4'!AF$1),0)</f>
        <v>0.5</v>
      </c>
      <c r="K16" s="119">
        <f>VLOOKUP($B16,'4'!$A$25:$AK$55,COLUMN('4'!AG$1),0)</f>
        <v>302.5</v>
      </c>
      <c r="L16" s="108">
        <f>VLOOKUP($B16,'4'!$A$25:$AK$55,COLUMN('4'!AH$1),0)</f>
        <v>200</v>
      </c>
      <c r="M16" s="62">
        <f>VLOOKUP($B16,'4'!$A$25:$AK$55,COLUMN('4'!AI$1),0)</f>
        <v>0.51249999999999996</v>
      </c>
      <c r="N16" s="108">
        <f>VLOOKUP($B16,'4'!$A$25:$AK$55,COLUMN('4'!AJ$1),0)</f>
        <v>302.5</v>
      </c>
      <c r="O16" s="50">
        <f>VLOOKUP($B16,'4'!$A$25:$AK$55,COLUMN('4'!AK$1),0)</f>
        <v>1</v>
      </c>
      <c r="P16" s="61">
        <f>IFERROR(VLOOKUP($C16,Sheet5!$C:$K,COLUMN(Sheet5!D$2)-2,0),"")</f>
        <v>0.46666666666666701</v>
      </c>
      <c r="Q16" s="142">
        <f>IFERROR(VLOOKUP($C16,Sheet5!$C:$K,COLUMN(Sheet5!E$2)-2,0),"")</f>
        <v>0.33870967741935504</v>
      </c>
      <c r="R16" s="62">
        <f>IFERROR(VLOOKUP($C16,Sheet5!$C:$K,COLUMN(Sheet5!F$2)-2,0),"")</f>
        <v>0.33189655172413801</v>
      </c>
      <c r="S16" s="62">
        <f>IFERROR(VLOOKUP($C16,Sheet5!$C:$K,COLUMN(Sheet5!G$2)-2,0),"")</f>
        <v>0.63636363636363602</v>
      </c>
      <c r="T16" s="62">
        <f>IFERROR(VLOOKUP($C16,Sheet5!$C:$K,COLUMN(Sheet5!H$2)-2,0),"")</f>
        <v>0.39024390243902402</v>
      </c>
      <c r="U16" s="63">
        <f>IFERROR(VLOOKUP($C16,Sheet5!$C:$K,COLUMN(Sheet5!I$2)-2,0),"")</f>
        <v>0.27272727272727298</v>
      </c>
      <c r="V16" s="107" t="e">
        <f>VLOOKUP($B16,'4'!$A$6:$AK$24,COLUMN('4'!AR$1),0)</f>
        <v>#REF!</v>
      </c>
      <c r="W16" s="108" t="e">
        <f>VLOOKUP($B16,'4'!$A$6:$AK$24,COLUMN('4'!AS$1),0)</f>
        <v>#REF!</v>
      </c>
      <c r="X16" s="109" t="e">
        <f>VLOOKUP($B16,'4'!$A$6:$AK$24,COLUMN('4'!AT$1),0)</f>
        <v>#REF!</v>
      </c>
    </row>
    <row r="17" spans="2:24" hidden="1" x14ac:dyDescent="0.2">
      <c r="B17" s="46">
        <v>6</v>
      </c>
      <c r="C17" s="60" t="str">
        <f>VLOOKUP($B17,'4'!$A$25:$AK$55,COLUMN('4'!Z$1),0)</f>
        <v>牡市辉煌</v>
      </c>
      <c r="D17" s="157" t="str">
        <f>VLOOKUP(C17,'4'!AL:AM,2,0)</f>
        <v>牡丹江城区所</v>
      </c>
      <c r="E17" s="119">
        <f>VLOOKUP($B17,'4'!$A$25:$AK$55,COLUMN('4'!AA$1),0)</f>
        <v>570</v>
      </c>
      <c r="F17" s="120">
        <f>VLOOKUP($B17,'4'!$A$25:$AK$55,COLUMN('4'!AB$1),0)</f>
        <v>560</v>
      </c>
      <c r="G17" s="121">
        <f>VLOOKUP($B17,'4'!$A$25:$AK$55,COLUMN('4'!AC$1),0)</f>
        <v>817</v>
      </c>
      <c r="H17" s="61">
        <f>VLOOKUP($B17,'4'!$A$25:$AK$55,COLUMN('4'!AD$1),0)</f>
        <v>0.64739884393063574</v>
      </c>
      <c r="I17" s="62">
        <f>VLOOKUP($B17,'4'!$A$25:$AK$55,COLUMN('4'!AE$1),0)</f>
        <v>0.53846153846153855</v>
      </c>
      <c r="J17" s="63">
        <f>VLOOKUP($B17,'4'!$A$25:$AK$55,COLUMN('4'!AF$1),0)</f>
        <v>0.123796423658872</v>
      </c>
      <c r="K17" s="119">
        <f>VLOOKUP($B17,'4'!$A$25:$AK$55,COLUMN('4'!AG$1),0)</f>
        <v>721.25</v>
      </c>
      <c r="L17" s="108">
        <f>VLOOKUP($B17,'4'!$A$25:$AK$55,COLUMN('4'!AH$1),0)</f>
        <v>500</v>
      </c>
      <c r="M17" s="62">
        <f>VLOOKUP($B17,'4'!$A$25:$AK$55,COLUMN('4'!AI$1),0)</f>
        <v>0.44249999999999989</v>
      </c>
      <c r="N17" s="108">
        <f>VLOOKUP($B17,'4'!$A$25:$AK$55,COLUMN('4'!AJ$1),0)</f>
        <v>721.25</v>
      </c>
      <c r="O17" s="50">
        <f>VLOOKUP($B17,'4'!$A$25:$AK$55,COLUMN('4'!AK$1),0)</f>
        <v>1</v>
      </c>
      <c r="P17" s="61">
        <f>IFERROR(VLOOKUP($C17,Sheet5!$C:$K,COLUMN(Sheet5!D$2)-2,0),"")</f>
        <v>0.95416666666666705</v>
      </c>
      <c r="Q17" s="142">
        <f>IFERROR(VLOOKUP($C17,Sheet5!$C:$K,COLUMN(Sheet5!E$2)-2,0),"")</f>
        <v>0.59859154929577496</v>
      </c>
      <c r="R17" s="62">
        <f>IFERROR(VLOOKUP($C17,Sheet5!$C:$K,COLUMN(Sheet5!F$2)-2,0),"")</f>
        <v>0.59758551307847096</v>
      </c>
      <c r="S17" s="62">
        <f>IFERROR(VLOOKUP($C17,Sheet5!$C:$K,COLUMN(Sheet5!G$2)-2,0),"")</f>
        <v>0.73880597014925398</v>
      </c>
      <c r="T17" s="62">
        <f>IFERROR(VLOOKUP($C17,Sheet5!$C:$K,COLUMN(Sheet5!H$2)-2,0),"")</f>
        <v>0.64539007092198597</v>
      </c>
      <c r="U17" s="63">
        <f>IFERROR(VLOOKUP($C17,Sheet5!$C:$K,COLUMN(Sheet5!I$2)-2,0),"")</f>
        <v>0.61194029850746301</v>
      </c>
      <c r="V17" s="107" t="e">
        <f>VLOOKUP($B17,'4'!$A$6:$AK$24,COLUMN('4'!AR$1),0)</f>
        <v>#REF!</v>
      </c>
      <c r="W17" s="108" t="e">
        <f>VLOOKUP($B17,'4'!$A$6:$AK$24,COLUMN('4'!AS$1),0)</f>
        <v>#REF!</v>
      </c>
      <c r="X17" s="109" t="e">
        <f>VLOOKUP($B17,'4'!$A$6:$AK$24,COLUMN('4'!AT$1),0)</f>
        <v>#REF!</v>
      </c>
    </row>
    <row r="18" spans="2:24" hidden="1" x14ac:dyDescent="0.2">
      <c r="B18" s="46">
        <v>7</v>
      </c>
      <c r="C18" s="60" t="str">
        <f>VLOOKUP($B18,'4'!$A$25:$AK$55,COLUMN('4'!Z$1),0)</f>
        <v>宝清远大</v>
      </c>
      <c r="D18" s="157" t="str">
        <f>VLOOKUP(C18,'4'!AL:AM,2,0)</f>
        <v>双鸭山外埠所</v>
      </c>
      <c r="E18" s="119">
        <f>VLOOKUP($B18,'4'!$A$25:$AK$55,COLUMN('4'!AA$1),0)</f>
        <v>218</v>
      </c>
      <c r="F18" s="120">
        <f>VLOOKUP($B18,'4'!$A$25:$AK$55,COLUMN('4'!AB$1),0)</f>
        <v>463</v>
      </c>
      <c r="G18" s="121">
        <f>VLOOKUP($B18,'4'!$A$25:$AK$55,COLUMN('4'!AC$1),0)</f>
        <v>400</v>
      </c>
      <c r="H18" s="61">
        <f>VLOOKUP($B18,'4'!$A$25:$AK$55,COLUMN('4'!AD$1),0)</f>
        <v>-0.35882352941176476</v>
      </c>
      <c r="I18" s="62">
        <f>VLOOKUP($B18,'4'!$A$25:$AK$55,COLUMN('4'!AE$1),0)</f>
        <v>-1.0683760683760646E-2</v>
      </c>
      <c r="J18" s="63">
        <f>VLOOKUP($B18,'4'!$A$25:$AK$55,COLUMN('4'!AF$1),0)</f>
        <v>-0.15254237288135586</v>
      </c>
      <c r="K18" s="119">
        <f>VLOOKUP($B18,'4'!$A$25:$AK$55,COLUMN('4'!AG$1),0)</f>
        <v>561.25</v>
      </c>
      <c r="L18" s="108">
        <f>VLOOKUP($B18,'4'!$A$25:$AK$55,COLUMN('4'!AH$1),0)</f>
        <v>400</v>
      </c>
      <c r="M18" s="62">
        <f>VLOOKUP($B18,'4'!$A$25:$AK$55,COLUMN('4'!AI$1),0)</f>
        <v>0.40312499999999996</v>
      </c>
      <c r="N18" s="108">
        <f>VLOOKUP($B18,'4'!$A$25:$AK$55,COLUMN('4'!AJ$1),0)</f>
        <v>561.25</v>
      </c>
      <c r="O18" s="50">
        <f>VLOOKUP($B18,'4'!$A$25:$AK$55,COLUMN('4'!AK$1),0)</f>
        <v>1</v>
      </c>
      <c r="P18" s="61">
        <f>IFERROR(VLOOKUP($C18,Sheet5!$C:$K,COLUMN(Sheet5!D$2)-2,0),"")</f>
        <v>0.58918918918918894</v>
      </c>
      <c r="Q18" s="142">
        <f>IFERROR(VLOOKUP($C18,Sheet5!$C:$K,COLUMN(Sheet5!E$2)-2,0),"")</f>
        <v>0.41218637992831503</v>
      </c>
      <c r="R18" s="62">
        <f>IFERROR(VLOOKUP($C18,Sheet5!$C:$K,COLUMN(Sheet5!F$2)-2,0),"")</f>
        <v>0.38783269961977196</v>
      </c>
      <c r="S18" s="62">
        <f>IFERROR(VLOOKUP($C18,Sheet5!$C:$K,COLUMN(Sheet5!G$2)-2,0),"")</f>
        <v>0.9</v>
      </c>
      <c r="T18" s="62">
        <f>IFERROR(VLOOKUP($C18,Sheet5!$C:$K,COLUMN(Sheet5!H$2)-2,0),"")</f>
        <v>0.483754512635379</v>
      </c>
      <c r="U18" s="63">
        <f>IFERROR(VLOOKUP($C18,Sheet5!$C:$K,COLUMN(Sheet5!I$2)-2,0),"")</f>
        <v>0.8</v>
      </c>
      <c r="V18" s="107" t="e">
        <f>VLOOKUP($B18,'4'!$A$6:$AK$24,COLUMN('4'!AR$1),0)</f>
        <v>#REF!</v>
      </c>
      <c r="W18" s="108" t="e">
        <f>VLOOKUP($B18,'4'!$A$6:$AK$24,COLUMN('4'!AS$1),0)</f>
        <v>#REF!</v>
      </c>
      <c r="X18" s="109" t="e">
        <f>VLOOKUP($B18,'4'!$A$6:$AK$24,COLUMN('4'!AT$1),0)</f>
        <v>#REF!</v>
      </c>
    </row>
    <row r="19" spans="2:24" hidden="1" x14ac:dyDescent="0.2">
      <c r="B19" s="46">
        <v>8</v>
      </c>
      <c r="C19" s="60" t="str">
        <f>VLOOKUP($B19,'4'!$A$25:$AK$55,COLUMN('4'!Z$1),0)</f>
        <v>双鸭山旺通</v>
      </c>
      <c r="D19" s="157" t="str">
        <f>VLOOKUP(C19,'4'!AL:AM,2,0)</f>
        <v>双鸭山城区所</v>
      </c>
      <c r="E19" s="119">
        <f>VLOOKUP($B19,'4'!$A$25:$AK$55,COLUMN('4'!AA$1),0)</f>
        <v>182</v>
      </c>
      <c r="F19" s="120">
        <f>VLOOKUP($B19,'4'!$A$25:$AK$55,COLUMN('4'!AB$1),0)</f>
        <v>190</v>
      </c>
      <c r="G19" s="121">
        <f>VLOOKUP($B19,'4'!$A$25:$AK$55,COLUMN('4'!AC$1),0)</f>
        <v>50</v>
      </c>
      <c r="H19" s="61">
        <f>VLOOKUP($B19,'4'!$A$25:$AK$55,COLUMN('4'!AD$1),0)</f>
        <v>-9.4527363184079727E-2</v>
      </c>
      <c r="I19" s="62">
        <f>VLOOKUP($B19,'4'!$A$25:$AK$55,COLUMN('4'!AE$1),0)</f>
        <v>-1.5544041450777257E-2</v>
      </c>
      <c r="J19" s="63">
        <f>VLOOKUP($B19,'4'!$A$25:$AK$55,COLUMN('4'!AF$1),0)</f>
        <v>-0.7474747474747474</v>
      </c>
      <c r="K19" s="119">
        <f>VLOOKUP($B19,'4'!$A$25:$AK$55,COLUMN('4'!AG$1),0)</f>
        <v>342.5</v>
      </c>
      <c r="L19" s="108">
        <f>VLOOKUP($B19,'4'!$A$25:$AK$55,COLUMN('4'!AH$1),0)</f>
        <v>250</v>
      </c>
      <c r="M19" s="62">
        <f>VLOOKUP($B19,'4'!$A$25:$AK$55,COLUMN('4'!AI$1),0)</f>
        <v>0.37000000000000011</v>
      </c>
      <c r="N19" s="108">
        <f>VLOOKUP($B19,'4'!$A$25:$AK$55,COLUMN('4'!AJ$1),0)</f>
        <v>342.5</v>
      </c>
      <c r="O19" s="50">
        <f>VLOOKUP($B19,'4'!$A$25:$AK$55,COLUMN('4'!AK$1),0)</f>
        <v>1</v>
      </c>
      <c r="P19" s="61">
        <f>IFERROR(VLOOKUP($C19,Sheet5!$C:$K,COLUMN(Sheet5!D$2)-2,0),"")</f>
        <v>0.89922480620154999</v>
      </c>
      <c r="Q19" s="142">
        <f>IFERROR(VLOOKUP($C19,Sheet5!$C:$K,COLUMN(Sheet5!E$2)-2,0),"")</f>
        <v>0.18888888888888899</v>
      </c>
      <c r="R19" s="62">
        <f>IFERROR(VLOOKUP($C19,Sheet5!$C:$K,COLUMN(Sheet5!F$2)-2,0),"")</f>
        <v>0.245551601423488</v>
      </c>
      <c r="S19" s="62">
        <f>IFERROR(VLOOKUP($C19,Sheet5!$C:$K,COLUMN(Sheet5!G$2)-2,0),"")</f>
        <v>0.31818181818181801</v>
      </c>
      <c r="T19" s="62">
        <f>IFERROR(VLOOKUP($C19,Sheet5!$C:$K,COLUMN(Sheet5!H$2)-2,0),"")</f>
        <v>0.24581005586592203</v>
      </c>
      <c r="U19" s="63">
        <f>IFERROR(VLOOKUP($C19,Sheet5!$C:$K,COLUMN(Sheet5!I$2)-2,0),"")</f>
        <v>0.209302325581395</v>
      </c>
      <c r="V19" s="107" t="e">
        <f>VLOOKUP($B19,'4'!$A$6:$AK$24,COLUMN('4'!AR$1),0)</f>
        <v>#REF!</v>
      </c>
      <c r="W19" s="108" t="e">
        <f>VLOOKUP($B19,'4'!$A$6:$AK$24,COLUMN('4'!AS$1),0)</f>
        <v>#REF!</v>
      </c>
      <c r="X19" s="109" t="e">
        <f>VLOOKUP($B19,'4'!$A$6:$AK$24,COLUMN('4'!AT$1),0)</f>
        <v>#REF!</v>
      </c>
    </row>
    <row r="20" spans="2:24" hidden="1" x14ac:dyDescent="0.2">
      <c r="B20" s="46">
        <v>9</v>
      </c>
      <c r="C20" s="60" t="str">
        <f>VLOOKUP($B20,'4'!$A$25:$AK$55,COLUMN('4'!Z$1),0)</f>
        <v>林口汇翔</v>
      </c>
      <c r="D20" s="157" t="str">
        <f>VLOOKUP(C20,'4'!AL:AM,2,0)</f>
        <v>七台河外埠所</v>
      </c>
      <c r="E20" s="119">
        <f>VLOOKUP($B20,'4'!$A$25:$AK$55,COLUMN('4'!AA$1),0)</f>
        <v>260</v>
      </c>
      <c r="F20" s="120">
        <f>VLOOKUP($B20,'4'!$A$25:$AK$55,COLUMN('4'!AB$1),0)</f>
        <v>390</v>
      </c>
      <c r="G20" s="121">
        <f>VLOOKUP($B20,'4'!$A$25:$AK$55,COLUMN('4'!AC$1),0)</f>
        <v>400</v>
      </c>
      <c r="H20" s="61">
        <f>VLOOKUP($B20,'4'!$A$25:$AK$55,COLUMN('4'!AD$1),0)</f>
        <v>-0.2048929663608563</v>
      </c>
      <c r="I20" s="62">
        <f>VLOOKUP($B20,'4'!$A$25:$AK$55,COLUMN('4'!AE$1),0)</f>
        <v>-2.010050251256279E-2</v>
      </c>
      <c r="J20" s="63">
        <f>VLOOKUP($B20,'4'!$A$25:$AK$55,COLUMN('4'!AF$1),0)</f>
        <v>0.42348754448398562</v>
      </c>
      <c r="K20" s="119">
        <f>VLOOKUP($B20,'4'!$A$25:$AK$55,COLUMN('4'!AG$1),0)</f>
        <v>400</v>
      </c>
      <c r="L20" s="108">
        <f>VLOOKUP($B20,'4'!$A$25:$AK$55,COLUMN('4'!AH$1),0)</f>
        <v>295</v>
      </c>
      <c r="M20" s="62">
        <f>VLOOKUP($B20,'4'!$A$25:$AK$55,COLUMN('4'!AI$1),0)</f>
        <v>0.35593220338983045</v>
      </c>
      <c r="N20" s="108">
        <f>VLOOKUP($B20,'4'!$A$25:$AK$55,COLUMN('4'!AJ$1),0)</f>
        <v>400</v>
      </c>
      <c r="O20" s="50">
        <f>VLOOKUP($B20,'4'!$A$25:$AK$55,COLUMN('4'!AK$1),0)</f>
        <v>1</v>
      </c>
      <c r="P20" s="61">
        <f>IFERROR(VLOOKUP($C20,Sheet5!$C:$K,COLUMN(Sheet5!D$2)-2,0),"")</f>
        <v>0.67889908256880704</v>
      </c>
      <c r="Q20" s="142">
        <f>IFERROR(VLOOKUP($C20,Sheet5!$C:$K,COLUMN(Sheet5!E$2)-2,0),"")</f>
        <v>0.37967914438502703</v>
      </c>
      <c r="R20" s="62">
        <f>IFERROR(VLOOKUP($C20,Sheet5!$C:$K,COLUMN(Sheet5!F$2)-2,0),"")</f>
        <v>0.473282442748092</v>
      </c>
      <c r="S20" s="62">
        <f>IFERROR(VLOOKUP($C20,Sheet5!$C:$K,COLUMN(Sheet5!G$2)-2,0),"")</f>
        <v>0.66666666666666696</v>
      </c>
      <c r="T20" s="62">
        <f>IFERROR(VLOOKUP($C20,Sheet5!$C:$K,COLUMN(Sheet5!H$2)-2,0),"")</f>
        <v>0.41489361702127703</v>
      </c>
      <c r="U20" s="63">
        <f>IFERROR(VLOOKUP($C20,Sheet5!$C:$K,COLUMN(Sheet5!I$2)-2,0),"")</f>
        <v>0.8</v>
      </c>
      <c r="V20" s="107" t="e">
        <f>VLOOKUP($B20,'4'!$A$6:$AK$24,COLUMN('4'!AR$1),0)</f>
        <v>#REF!</v>
      </c>
      <c r="W20" s="108" t="e">
        <f>VLOOKUP($B20,'4'!$A$6:$AK$24,COLUMN('4'!AS$1),0)</f>
        <v>#REF!</v>
      </c>
      <c r="X20" s="109" t="e">
        <f>VLOOKUP($B20,'4'!$A$6:$AK$24,COLUMN('4'!AT$1),0)</f>
        <v>#REF!</v>
      </c>
    </row>
    <row r="21" spans="2:24" hidden="1" x14ac:dyDescent="0.2">
      <c r="B21" s="46">
        <v>10</v>
      </c>
      <c r="C21" s="60" t="str">
        <f>VLOOKUP($B21,'4'!$A$25:$AK$55,COLUMN('4'!Z$1),0)</f>
        <v>桦南方华</v>
      </c>
      <c r="D21" s="157" t="str">
        <f>VLOOKUP(C21,'4'!AL:AM,2,0)</f>
        <v>七台河外埠所</v>
      </c>
      <c r="E21" s="119">
        <f>VLOOKUP($B21,'4'!$A$25:$AK$55,COLUMN('4'!AA$1),0)</f>
        <v>175</v>
      </c>
      <c r="F21" s="120">
        <f>VLOOKUP($B21,'4'!$A$25:$AK$55,COLUMN('4'!AB$1),0)</f>
        <v>280</v>
      </c>
      <c r="G21" s="121">
        <f>VLOOKUP($B21,'4'!$A$25:$AK$55,COLUMN('4'!AC$1),0)</f>
        <v>212</v>
      </c>
      <c r="H21" s="61">
        <f>VLOOKUP($B21,'4'!$A$25:$AK$55,COLUMN('4'!AD$1),0)</f>
        <v>-9.3264248704663322E-2</v>
      </c>
      <c r="I21" s="62">
        <f>VLOOKUP($B21,'4'!$A$25:$AK$55,COLUMN('4'!AE$1),0)</f>
        <v>-1.754385964912264E-2</v>
      </c>
      <c r="J21" s="63">
        <f>VLOOKUP($B21,'4'!$A$25:$AK$55,COLUMN('4'!AF$1),0)</f>
        <v>5.9999999999999831E-2</v>
      </c>
      <c r="K21" s="119">
        <f>VLOOKUP($B21,'4'!$A$25:$AK$55,COLUMN('4'!AG$1),0)</f>
        <v>270</v>
      </c>
      <c r="L21" s="108">
        <f>VLOOKUP($B21,'4'!$A$25:$AK$55,COLUMN('4'!AH$1),0)</f>
        <v>205</v>
      </c>
      <c r="M21" s="62">
        <f>VLOOKUP($B21,'4'!$A$25:$AK$55,COLUMN('4'!AI$1),0)</f>
        <v>0.31707317073170738</v>
      </c>
      <c r="N21" s="108">
        <f>VLOOKUP($B21,'4'!$A$25:$AK$55,COLUMN('4'!AJ$1),0)</f>
        <v>270</v>
      </c>
      <c r="O21" s="50">
        <f>VLOOKUP($B21,'4'!$A$25:$AK$55,COLUMN('4'!AK$1),0)</f>
        <v>1</v>
      </c>
      <c r="P21" s="61">
        <f>IFERROR(VLOOKUP($C21,Sheet5!$C:$K,COLUMN(Sheet5!D$2)-2,0),"")</f>
        <v>0.81599999999999995</v>
      </c>
      <c r="Q21" s="142">
        <f>IFERROR(VLOOKUP($C21,Sheet5!$C:$K,COLUMN(Sheet5!E$2)-2,0),"")</f>
        <v>0.27536231884057999</v>
      </c>
      <c r="R21" s="62">
        <f>IFERROR(VLOOKUP($C21,Sheet5!$C:$K,COLUMN(Sheet5!F$2)-2,0),"")</f>
        <v>0.28571428571428603</v>
      </c>
      <c r="S21" s="62">
        <f>IFERROR(VLOOKUP($C21,Sheet5!$C:$K,COLUMN(Sheet5!G$2)-2,0),"")</f>
        <v>0.63157894736842102</v>
      </c>
      <c r="T21" s="62">
        <f>IFERROR(VLOOKUP($C21,Sheet5!$C:$K,COLUMN(Sheet5!H$2)-2,0),"")</f>
        <v>0.35401459854014594</v>
      </c>
      <c r="U21" s="63">
        <f>IFERROR(VLOOKUP($C21,Sheet5!$C:$K,COLUMN(Sheet5!I$2)-2,0),"")</f>
        <v>0.52631578947368407</v>
      </c>
      <c r="V21" s="107" t="e">
        <f>VLOOKUP($B21,'4'!$A$6:$AK$24,COLUMN('4'!AR$1),0)</f>
        <v>#REF!</v>
      </c>
      <c r="W21" s="108" t="e">
        <f>VLOOKUP($B21,'4'!$A$6:$AK$24,COLUMN('4'!AS$1),0)</f>
        <v>#REF!</v>
      </c>
      <c r="X21" s="109" t="e">
        <f>VLOOKUP($B21,'4'!$A$6:$AK$24,COLUMN('4'!AT$1),0)</f>
        <v>#REF!</v>
      </c>
    </row>
    <row r="22" spans="2:24" hidden="1" x14ac:dyDescent="0.2">
      <c r="B22" s="46">
        <v>11</v>
      </c>
      <c r="C22" s="60" t="str">
        <f>VLOOKUP($B22,'4'!$A$25:$AK$55,COLUMN('4'!Z$1),0)</f>
        <v>绥滨德枫</v>
      </c>
      <c r="D22" s="157" t="str">
        <f>VLOOKUP(C22,'4'!AL:AM,2,0)</f>
        <v>双鸭山外埠所</v>
      </c>
      <c r="E22" s="119">
        <f>VLOOKUP($B22,'4'!$A$25:$AK$55,COLUMN('4'!AA$1),0)</f>
        <v>165</v>
      </c>
      <c r="F22" s="120">
        <f>VLOOKUP($B22,'4'!$A$25:$AK$55,COLUMN('4'!AB$1),0)</f>
        <v>312</v>
      </c>
      <c r="G22" s="121">
        <f>VLOOKUP($B22,'4'!$A$25:$AK$55,COLUMN('4'!AC$1),0)</f>
        <v>232</v>
      </c>
      <c r="H22" s="61">
        <f>VLOOKUP($B22,'4'!$A$25:$AK$55,COLUMN('4'!AD$1),0)</f>
        <v>0.14583333333333348</v>
      </c>
      <c r="I22" s="62">
        <f>VLOOKUP($B22,'4'!$A$25:$AK$55,COLUMN('4'!AE$1),0)</f>
        <v>-0.25714285714285712</v>
      </c>
      <c r="J22" s="63">
        <f>VLOOKUP($B22,'4'!$A$25:$AK$55,COLUMN('4'!AF$1),0)</f>
        <v>0.23404255319148937</v>
      </c>
      <c r="K22" s="119">
        <f>VLOOKUP($B22,'4'!$A$25:$AK$55,COLUMN('4'!AG$1),0)</f>
        <v>282.5</v>
      </c>
      <c r="L22" s="108">
        <f>VLOOKUP($B22,'4'!$A$25:$AK$55,COLUMN('4'!AH$1),0)</f>
        <v>226</v>
      </c>
      <c r="M22" s="62">
        <f>VLOOKUP($B22,'4'!$A$25:$AK$55,COLUMN('4'!AI$1),0)</f>
        <v>0.25</v>
      </c>
      <c r="N22" s="108">
        <f>VLOOKUP($B22,'4'!$A$25:$AK$55,COLUMN('4'!AJ$1),0)</f>
        <v>282.5</v>
      </c>
      <c r="O22" s="50">
        <f>VLOOKUP($B22,'4'!$A$25:$AK$55,COLUMN('4'!AK$1),0)</f>
        <v>1</v>
      </c>
      <c r="P22" s="61">
        <f>IFERROR(VLOOKUP($C22,Sheet5!$C:$K,COLUMN(Sheet5!D$2)-2,0),"")</f>
        <v>0.78494623655913998</v>
      </c>
      <c r="Q22" s="142">
        <f>IFERROR(VLOOKUP($C22,Sheet5!$C:$K,COLUMN(Sheet5!E$2)-2,0),"")</f>
        <v>0.44755244755244805</v>
      </c>
      <c r="R22" s="62">
        <f>IFERROR(VLOOKUP($C22,Sheet5!$C:$K,COLUMN(Sheet5!F$2)-2,0),"")</f>
        <v>0.44565217391304401</v>
      </c>
      <c r="S22" s="62">
        <f>IFERROR(VLOOKUP($C22,Sheet5!$C:$K,COLUMN(Sheet5!G$2)-2,0),"")</f>
        <v>0.88888888888888895</v>
      </c>
      <c r="T22" s="62">
        <f>IFERROR(VLOOKUP($C22,Sheet5!$C:$K,COLUMN(Sheet5!H$2)-2,0),"")</f>
        <v>0.51748251748251695</v>
      </c>
      <c r="U22" s="63">
        <f>IFERROR(VLOOKUP($C22,Sheet5!$C:$K,COLUMN(Sheet5!I$2)-2,0),"")</f>
        <v>0.88888888888888895</v>
      </c>
      <c r="V22" s="107" t="e">
        <f>VLOOKUP($B22,'4'!$A$6:$AK$24,COLUMN('4'!AR$1),0)</f>
        <v>#REF!</v>
      </c>
      <c r="W22" s="108" t="e">
        <f>VLOOKUP($B22,'4'!$A$6:$AK$24,COLUMN('4'!AS$1),0)</f>
        <v>#REF!</v>
      </c>
      <c r="X22" s="109" t="e">
        <f>VLOOKUP($B22,'4'!$A$6:$AK$24,COLUMN('4'!AT$1),0)</f>
        <v>#REF!</v>
      </c>
    </row>
    <row r="23" spans="2:24" hidden="1" x14ac:dyDescent="0.2">
      <c r="B23" s="46">
        <v>12</v>
      </c>
      <c r="C23" s="60" t="str">
        <f>VLOOKUP($B23,'4'!$A$25:$AK$55,COLUMN('4'!Z$1),0)</f>
        <v>海林黑土</v>
      </c>
      <c r="D23" s="157" t="str">
        <f>VLOOKUP(C23,'4'!AL:AM,2,0)</f>
        <v>牡丹江城区所</v>
      </c>
      <c r="E23" s="119">
        <f>VLOOKUP($B23,'4'!$A$25:$AK$55,COLUMN('4'!AA$1),0)</f>
        <v>122</v>
      </c>
      <c r="F23" s="120">
        <f>VLOOKUP($B23,'4'!$A$25:$AK$55,COLUMN('4'!AB$1),0)</f>
        <v>195</v>
      </c>
      <c r="G23" s="121">
        <f>VLOOKUP($B23,'4'!$A$25:$AK$55,COLUMN('4'!AC$1),0)</f>
        <v>205</v>
      </c>
      <c r="H23" s="61">
        <f>VLOOKUP($B23,'4'!$A$25:$AK$55,COLUMN('4'!AD$1),0)</f>
        <v>-9.6296296296296324E-2</v>
      </c>
      <c r="I23" s="62">
        <f>VLOOKUP($B23,'4'!$A$25:$AK$55,COLUMN('4'!AE$1),0)</f>
        <v>-2.5000000000000022E-2</v>
      </c>
      <c r="J23" s="63">
        <f>VLOOKUP($B23,'4'!$A$25:$AK$55,COLUMN('4'!AF$1),0)</f>
        <v>0.23493975903614439</v>
      </c>
      <c r="K23" s="119">
        <f>VLOOKUP($B23,'4'!$A$25:$AK$55,COLUMN('4'!AG$1),0)</f>
        <v>242.5</v>
      </c>
      <c r="L23" s="108">
        <f>VLOOKUP($B23,'4'!$A$25:$AK$55,COLUMN('4'!AH$1),0)</f>
        <v>204</v>
      </c>
      <c r="M23" s="62">
        <f>VLOOKUP($B23,'4'!$A$25:$AK$55,COLUMN('4'!AI$1),0)</f>
        <v>0.18872549019607843</v>
      </c>
      <c r="N23" s="108">
        <f>VLOOKUP($B23,'4'!$A$25:$AK$55,COLUMN('4'!AJ$1),0)</f>
        <v>242.5</v>
      </c>
      <c r="O23" s="50">
        <f>VLOOKUP($B23,'4'!$A$25:$AK$55,COLUMN('4'!AK$1),0)</f>
        <v>1</v>
      </c>
      <c r="P23" s="61">
        <f>IFERROR(VLOOKUP($C23,Sheet5!$C:$K,COLUMN(Sheet5!D$2)-2,0),"")</f>
        <v>0.98260869565217401</v>
      </c>
      <c r="Q23" s="142">
        <f>IFERROR(VLOOKUP($C23,Sheet5!$C:$K,COLUMN(Sheet5!E$2)-2,0),"")</f>
        <v>0.69230769230769196</v>
      </c>
      <c r="R23" s="62">
        <f>IFERROR(VLOOKUP($C23,Sheet5!$C:$K,COLUMN(Sheet5!F$2)-2,0),"")</f>
        <v>0.9478827361563521</v>
      </c>
      <c r="S23" s="62">
        <f>IFERROR(VLOOKUP($C23,Sheet5!$C:$K,COLUMN(Sheet5!G$2)-2,0),"")</f>
        <v>1</v>
      </c>
      <c r="T23" s="62">
        <f>IFERROR(VLOOKUP($C23,Sheet5!$C:$K,COLUMN(Sheet5!H$2)-2,0),"")</f>
        <v>0.96153846153846201</v>
      </c>
      <c r="U23" s="63">
        <f>IFERROR(VLOOKUP($C23,Sheet5!$C:$K,COLUMN(Sheet5!I$2)-2,0),"")</f>
        <v>0.90909090909090906</v>
      </c>
      <c r="V23" s="107" t="e">
        <f>VLOOKUP($B23,'4'!$A$6:$AK$24,COLUMN('4'!AR$1),0)</f>
        <v>#REF!</v>
      </c>
      <c r="W23" s="108" t="e">
        <f>VLOOKUP($B23,'4'!$A$6:$AK$24,COLUMN('4'!AS$1),0)</f>
        <v>#REF!</v>
      </c>
      <c r="X23" s="109" t="e">
        <f>VLOOKUP($B23,'4'!$A$6:$AK$24,COLUMN('4'!AT$1),0)</f>
        <v>#REF!</v>
      </c>
    </row>
    <row r="24" spans="2:24" hidden="1" x14ac:dyDescent="0.2">
      <c r="B24" s="46">
        <v>13</v>
      </c>
      <c r="C24" s="60" t="str">
        <f>VLOOKUP($B24,'4'!$A$25:$AK$55,COLUMN('4'!Z$1),0)</f>
        <v>抚远天添</v>
      </c>
      <c r="D24" s="157" t="str">
        <f>VLOOKUP(C24,'4'!AL:AM,2,0)</f>
        <v>双鸭山外埠所</v>
      </c>
      <c r="E24" s="119">
        <f>VLOOKUP($B24,'4'!$A$25:$AK$55,COLUMN('4'!AA$1),0)</f>
        <v>166</v>
      </c>
      <c r="F24" s="120">
        <f>VLOOKUP($B24,'4'!$A$25:$AK$55,COLUMN('4'!AB$1),0)</f>
        <v>210</v>
      </c>
      <c r="G24" s="121">
        <f>VLOOKUP($B24,'4'!$A$25:$AK$55,COLUMN('4'!AC$1),0)</f>
        <v>149</v>
      </c>
      <c r="H24" s="61">
        <f>VLOOKUP($B24,'4'!$A$25:$AK$55,COLUMN('4'!AD$1),0)</f>
        <v>-9.7826086956521729E-2</v>
      </c>
      <c r="I24" s="62">
        <f>VLOOKUP($B24,'4'!$A$25:$AK$55,COLUMN('4'!AE$1),0)</f>
        <v>0</v>
      </c>
      <c r="J24" s="63">
        <f>VLOOKUP($B24,'4'!$A$25:$AK$55,COLUMN('4'!AF$1),0)</f>
        <v>5.6737588652482351E-2</v>
      </c>
      <c r="K24" s="119">
        <f>VLOOKUP($B24,'4'!$A$25:$AK$55,COLUMN('4'!AG$1),0)</f>
        <v>227.5</v>
      </c>
      <c r="L24" s="108">
        <f>VLOOKUP($B24,'4'!$A$25:$AK$55,COLUMN('4'!AH$1),0)</f>
        <v>200</v>
      </c>
      <c r="M24" s="62">
        <f>VLOOKUP($B24,'4'!$A$25:$AK$55,COLUMN('4'!AI$1),0)</f>
        <v>0.13749999999999996</v>
      </c>
      <c r="N24" s="108">
        <f>VLOOKUP($B24,'4'!$A$25:$AK$55,COLUMN('4'!AJ$1),0)</f>
        <v>227.5</v>
      </c>
      <c r="O24" s="50">
        <f>VLOOKUP($B24,'4'!$A$25:$AK$55,COLUMN('4'!AK$1),0)</f>
        <v>1</v>
      </c>
      <c r="P24" s="61">
        <f>IFERROR(VLOOKUP($C24,Sheet5!$C:$K,COLUMN(Sheet5!D$2)-2,0),"")</f>
        <v>0.73134328358209</v>
      </c>
      <c r="Q24" s="142">
        <f>IFERROR(VLOOKUP($C24,Sheet5!$C:$K,COLUMN(Sheet5!E$2)-2,0),"")</f>
        <v>0.15833333333333299</v>
      </c>
      <c r="R24" s="62">
        <f>IFERROR(VLOOKUP($C24,Sheet5!$C:$K,COLUMN(Sheet5!F$2)-2,0),"")</f>
        <v>0.21666666666666701</v>
      </c>
      <c r="S24" s="62">
        <f>IFERROR(VLOOKUP($C24,Sheet5!$C:$K,COLUMN(Sheet5!G$2)-2,0),"")</f>
        <v>0.8</v>
      </c>
      <c r="T24" s="62">
        <f>IFERROR(VLOOKUP($C24,Sheet5!$C:$K,COLUMN(Sheet5!H$2)-2,0),"")</f>
        <v>0.41666666666666702</v>
      </c>
      <c r="U24" s="63">
        <f>IFERROR(VLOOKUP($C24,Sheet5!$C:$K,COLUMN(Sheet5!I$2)-2,0),"")</f>
        <v>0.8</v>
      </c>
      <c r="V24" s="107" t="e">
        <f>VLOOKUP($B24,'4'!$A$6:$AK$24,COLUMN('4'!AR$1),0)</f>
        <v>#REF!</v>
      </c>
      <c r="W24" s="108" t="e">
        <f>VLOOKUP($B24,'4'!$A$6:$AK$24,COLUMN('4'!AS$1),0)</f>
        <v>#REF!</v>
      </c>
      <c r="X24" s="109" t="e">
        <f>VLOOKUP($B24,'4'!$A$6:$AK$24,COLUMN('4'!AT$1),0)</f>
        <v>#REF!</v>
      </c>
    </row>
    <row r="25" spans="2:24" hidden="1" x14ac:dyDescent="0.2">
      <c r="B25" s="46">
        <v>14</v>
      </c>
      <c r="C25" s="60" t="str">
        <f>VLOOKUP($B25,'4'!$A$25:$AK$55,COLUMN('4'!Z$1),0)</f>
        <v>七台顺阳</v>
      </c>
      <c r="D25" s="157" t="str">
        <f>VLOOKUP(C25,'4'!AL:AM,2,0)</f>
        <v>七台河外埠所</v>
      </c>
      <c r="E25" s="119">
        <f>VLOOKUP($B25,'4'!$A$25:$AK$55,COLUMN('4'!AA$1),0)</f>
        <v>552</v>
      </c>
      <c r="F25" s="120">
        <f>VLOOKUP($B25,'4'!$A$25:$AK$55,COLUMN('4'!AB$1),0)</f>
        <v>650</v>
      </c>
      <c r="G25" s="121">
        <f>VLOOKUP($B25,'4'!$A$25:$AK$55,COLUMN('4'!AC$1),0)</f>
        <v>280</v>
      </c>
      <c r="H25" s="61">
        <f>VLOOKUP($B25,'4'!$A$25:$AK$55,COLUMN('4'!AD$1),0)</f>
        <v>-9.5081967213114682E-2</v>
      </c>
      <c r="I25" s="62">
        <f>VLOOKUP($B25,'4'!$A$25:$AK$55,COLUMN('4'!AE$1),0)</f>
        <v>-1.5151515151515138E-2</v>
      </c>
      <c r="J25" s="63">
        <f>VLOOKUP($B25,'4'!$A$25:$AK$55,COLUMN('4'!AF$1),0)</f>
        <v>-0.36218678815489747</v>
      </c>
      <c r="K25" s="119">
        <f>VLOOKUP($B25,'4'!$A$25:$AK$55,COLUMN('4'!AG$1),0)</f>
        <v>1096.25</v>
      </c>
      <c r="L25" s="108">
        <f>VLOOKUP($B25,'4'!$A$25:$AK$55,COLUMN('4'!AH$1),0)</f>
        <v>1000</v>
      </c>
      <c r="M25" s="62">
        <f>VLOOKUP($B25,'4'!$A$25:$AK$55,COLUMN('4'!AI$1),0)</f>
        <v>9.6249999999999947E-2</v>
      </c>
      <c r="N25" s="108">
        <f>VLOOKUP($B25,'4'!$A$25:$AK$55,COLUMN('4'!AJ$1),0)</f>
        <v>1096.25</v>
      </c>
      <c r="O25" s="50">
        <f>VLOOKUP($B25,'4'!$A$25:$AK$55,COLUMN('4'!AK$1),0)</f>
        <v>1</v>
      </c>
      <c r="P25" s="61">
        <f>IFERROR(VLOOKUP($C25,Sheet5!$C:$K,COLUMN(Sheet5!D$2)-2,0),"")</f>
        <v>0.36764705882352899</v>
      </c>
      <c r="Q25" s="142">
        <f>IFERROR(VLOOKUP($C25,Sheet5!$C:$K,COLUMN(Sheet5!E$2)-2,0),"")</f>
        <v>0.24886877828054299</v>
      </c>
      <c r="R25" s="62">
        <f>IFERROR(VLOOKUP($C25,Sheet5!$C:$K,COLUMN(Sheet5!F$2)-2,0),"")</f>
        <v>0.29663608562691102</v>
      </c>
      <c r="S25" s="62">
        <f>IFERROR(VLOOKUP($C25,Sheet5!$C:$K,COLUMN(Sheet5!G$2)-2,0),"")</f>
        <v>0.62162162162162193</v>
      </c>
      <c r="T25" s="62">
        <f>IFERROR(VLOOKUP($C25,Sheet5!$C:$K,COLUMN(Sheet5!H$2)-2,0),"")</f>
        <v>0.253488372093023</v>
      </c>
      <c r="U25" s="63">
        <f>IFERROR(VLOOKUP($C25,Sheet5!$C:$K,COLUMN(Sheet5!I$2)-2,0),"")</f>
        <v>0.45945945945945899</v>
      </c>
    </row>
    <row r="26" spans="2:24" hidden="1" x14ac:dyDescent="0.2">
      <c r="B26" s="46">
        <v>15</v>
      </c>
      <c r="C26" s="60" t="str">
        <f>VLOOKUP($B26,'4'!$A$25:$AK$55,COLUMN('4'!Z$1),0)</f>
        <v>依兰仁广</v>
      </c>
      <c r="D26" s="157" t="str">
        <f>VLOOKUP(C26,'4'!AL:AM,2,0)</f>
        <v>七台河外埠所</v>
      </c>
      <c r="E26" s="119">
        <f>VLOOKUP($B26,'4'!$A$25:$AK$55,COLUMN('4'!AA$1),0)</f>
        <v>140</v>
      </c>
      <c r="F26" s="120">
        <f>VLOOKUP($B26,'4'!$A$25:$AK$55,COLUMN('4'!AB$1),0)</f>
        <v>292</v>
      </c>
      <c r="G26" s="121">
        <f>VLOOKUP($B26,'4'!$A$25:$AK$55,COLUMN('4'!AC$1),0)</f>
        <v>77</v>
      </c>
      <c r="H26" s="61">
        <f>VLOOKUP($B26,'4'!$A$25:$AK$55,COLUMN('4'!AD$1),0)</f>
        <v>-0.14634146341463405</v>
      </c>
      <c r="I26" s="62">
        <f>VLOOKUP($B26,'4'!$A$25:$AK$55,COLUMN('4'!AE$1),0)</f>
        <v>-2.6666666666666727E-2</v>
      </c>
      <c r="J26" s="63">
        <f>VLOOKUP($B26,'4'!$A$25:$AK$55,COLUMN('4'!AF$1),0)</f>
        <v>-0.51875000000000004</v>
      </c>
      <c r="K26" s="119">
        <f>VLOOKUP($B26,'4'!$A$25:$AK$55,COLUMN('4'!AG$1),0)</f>
        <v>212.5</v>
      </c>
      <c r="L26" s="108">
        <f>VLOOKUP($B26,'4'!$A$25:$AK$55,COLUMN('4'!AH$1),0)</f>
        <v>200</v>
      </c>
      <c r="M26" s="62">
        <f>VLOOKUP($B26,'4'!$A$25:$AK$55,COLUMN('4'!AI$1),0)</f>
        <v>6.25E-2</v>
      </c>
      <c r="N26" s="108">
        <f>VLOOKUP($B26,'4'!$A$25:$AK$55,COLUMN('4'!AJ$1),0)</f>
        <v>212.5</v>
      </c>
      <c r="O26" s="50">
        <f>VLOOKUP($B26,'4'!$A$25:$AK$55,COLUMN('4'!AK$1),0)</f>
        <v>1</v>
      </c>
      <c r="P26" s="61">
        <f>IFERROR(VLOOKUP($C26,Sheet5!$C:$K,COLUMN(Sheet5!D$2)-2,0),"")</f>
        <v>1</v>
      </c>
      <c r="Q26" s="142">
        <f>IFERROR(VLOOKUP($C26,Sheet5!$C:$K,COLUMN(Sheet5!E$2)-2,0),"")</f>
        <v>0.162962962962963</v>
      </c>
      <c r="R26" s="62">
        <f>IFERROR(VLOOKUP($C26,Sheet5!$C:$K,COLUMN(Sheet5!F$2)-2,0),"")</f>
        <v>0.13703703703703701</v>
      </c>
      <c r="S26" s="62">
        <f>IFERROR(VLOOKUP($C26,Sheet5!$C:$K,COLUMN(Sheet5!G$2)-2,0),"")</f>
        <v>0.35</v>
      </c>
      <c r="T26" s="62">
        <f>IFERROR(VLOOKUP($C26,Sheet5!$C:$K,COLUMN(Sheet5!H$2)-2,0),"")</f>
        <v>0.162962962962963</v>
      </c>
      <c r="U26" s="63">
        <f>IFERROR(VLOOKUP($C26,Sheet5!$C:$K,COLUMN(Sheet5!I$2)-2,0),"")</f>
        <v>0.2</v>
      </c>
    </row>
    <row r="27" spans="2:24" hidden="1" x14ac:dyDescent="0.2">
      <c r="B27" s="46">
        <v>16</v>
      </c>
      <c r="C27" s="60" t="str">
        <f>VLOOKUP($B27,'4'!$A$25:$AK$55,COLUMN('4'!Z$1),0)</f>
        <v>佳市缘百</v>
      </c>
      <c r="D27" s="157" t="str">
        <f>VLOOKUP(C27,'4'!AL:AM,2,0)</f>
        <v>佳木斯城区所</v>
      </c>
      <c r="E27" s="119">
        <f>VLOOKUP($B27,'4'!$A$25:$AK$55,COLUMN('4'!AA$1),0)</f>
        <v>157</v>
      </c>
      <c r="F27" s="120">
        <f>VLOOKUP($B27,'4'!$A$25:$AK$55,COLUMN('4'!AB$1),0)</f>
        <v>330</v>
      </c>
      <c r="G27" s="121">
        <f>VLOOKUP($B27,'4'!$A$25:$AK$55,COLUMN('4'!AC$1),0)</f>
        <v>160</v>
      </c>
      <c r="H27" s="61">
        <f>VLOOKUP($B27,'4'!$A$25:$AK$55,COLUMN('4'!AD$1),0)</f>
        <v>-0.11299435028248583</v>
      </c>
      <c r="I27" s="62">
        <f>VLOOKUP($B27,'4'!$A$25:$AK$55,COLUMN('4'!AE$1),0)</f>
        <v>-0.24311926605504586</v>
      </c>
      <c r="J27" s="63">
        <f>VLOOKUP($B27,'4'!$A$25:$AK$55,COLUMN('4'!AF$1),0)</f>
        <v>-0.24528301886792447</v>
      </c>
      <c r="K27" s="119">
        <f>VLOOKUP($B27,'4'!$A$25:$AK$55,COLUMN('4'!AG$1),0)</f>
        <v>277.5</v>
      </c>
      <c r="L27" s="108">
        <f>VLOOKUP($B27,'4'!$A$25:$AK$55,COLUMN('4'!AH$1),0)</f>
        <v>280</v>
      </c>
      <c r="M27" s="62">
        <f>VLOOKUP($B27,'4'!$A$25:$AK$55,COLUMN('4'!AI$1),0)</f>
        <v>-8.9285714285713969E-3</v>
      </c>
      <c r="N27" s="108">
        <f>VLOOKUP($B27,'4'!$A$25:$AK$55,COLUMN('4'!AJ$1),0)</f>
        <v>277.5</v>
      </c>
      <c r="O27" s="50">
        <f>VLOOKUP($B27,'4'!$A$25:$AK$55,COLUMN('4'!AK$1),0)</f>
        <v>1</v>
      </c>
      <c r="P27" s="61">
        <f>IFERROR(VLOOKUP($C27,Sheet5!$C:$K,COLUMN(Sheet5!D$2)-2,0),"")</f>
        <v>0.59510869565217395</v>
      </c>
      <c r="Q27" s="142">
        <f>IFERROR(VLOOKUP($C27,Sheet5!$C:$K,COLUMN(Sheet5!E$2)-2,0),"")</f>
        <v>3.6960985626283402E-2</v>
      </c>
      <c r="R27" s="62">
        <f>IFERROR(VLOOKUP($C27,Sheet5!$C:$K,COLUMN(Sheet5!F$2)-2,0),"")</f>
        <v>6.9986541049798096E-2</v>
      </c>
      <c r="S27" s="62">
        <f>IFERROR(VLOOKUP($C27,Sheet5!$C:$K,COLUMN(Sheet5!G$2)-2,0),"")</f>
        <v>0.3</v>
      </c>
      <c r="T27" s="62">
        <f>IFERROR(VLOOKUP($C27,Sheet5!$C:$K,COLUMN(Sheet5!H$2)-2,0),"")</f>
        <v>0.115303983228512</v>
      </c>
      <c r="U27" s="63">
        <f>IFERROR(VLOOKUP($C27,Sheet5!$C:$K,COLUMN(Sheet5!I$2)-2,0),"")</f>
        <v>0.102564102564103</v>
      </c>
    </row>
    <row r="28" spans="2:24" hidden="1" x14ac:dyDescent="0.2">
      <c r="B28" s="46">
        <v>17</v>
      </c>
      <c r="C28" s="60" t="str">
        <f>VLOOKUP($B28,'4'!$A$25:$AK$55,COLUMN('4'!Z$1),0)</f>
        <v>勃利德顺</v>
      </c>
      <c r="D28" s="157" t="str">
        <f>VLOOKUP(C28,'4'!AL:AM,2,0)</f>
        <v>七台河外埠所</v>
      </c>
      <c r="E28" s="119">
        <f>VLOOKUP($B28,'4'!$A$25:$AK$55,COLUMN('4'!AA$1),0)</f>
        <v>134</v>
      </c>
      <c r="F28" s="120">
        <f>VLOOKUP($B28,'4'!$A$25:$AK$55,COLUMN('4'!AB$1),0)</f>
        <v>250</v>
      </c>
      <c r="G28" s="121">
        <f>VLOOKUP($B28,'4'!$A$25:$AK$55,COLUMN('4'!AC$1),0)</f>
        <v>100</v>
      </c>
      <c r="H28" s="61">
        <f>VLOOKUP($B28,'4'!$A$25:$AK$55,COLUMN('4'!AD$1),0)</f>
        <v>-3.5971223021582732E-2</v>
      </c>
      <c r="I28" s="62">
        <f>VLOOKUP($B28,'4'!$A$25:$AK$55,COLUMN('4'!AE$1),0)</f>
        <v>-1.1857707509881465E-2</v>
      </c>
      <c r="J28" s="63">
        <f>VLOOKUP($B28,'4'!$A$25:$AK$55,COLUMN('4'!AF$1),0)</f>
        <v>-0.375</v>
      </c>
      <c r="K28" s="119">
        <f>VLOOKUP($B28,'4'!$A$25:$AK$55,COLUMN('4'!AG$1),0)</f>
        <v>226.25</v>
      </c>
      <c r="L28" s="108">
        <f>VLOOKUP($B28,'4'!$A$25:$AK$55,COLUMN('4'!AH$1),0)</f>
        <v>236</v>
      </c>
      <c r="M28" s="62">
        <f>VLOOKUP($B28,'4'!$A$25:$AK$55,COLUMN('4'!AI$1),0)</f>
        <v>-4.1313559322033844E-2</v>
      </c>
      <c r="N28" s="108">
        <f>VLOOKUP($B28,'4'!$A$25:$AK$55,COLUMN('4'!AJ$1),0)</f>
        <v>226.25</v>
      </c>
      <c r="O28" s="50">
        <f>VLOOKUP($B28,'4'!$A$25:$AK$55,COLUMN('4'!AK$1),0)</f>
        <v>1</v>
      </c>
      <c r="P28" s="61">
        <f>IFERROR(VLOOKUP($C28,Sheet5!$C:$K,COLUMN(Sheet5!D$2)-2,0),"")</f>
        <v>0.82758620689655205</v>
      </c>
      <c r="Q28" s="142">
        <f>IFERROR(VLOOKUP($C28,Sheet5!$C:$K,COLUMN(Sheet5!E$2)-2,0),"")</f>
        <v>0.119402985074627</v>
      </c>
      <c r="R28" s="62">
        <f>IFERROR(VLOOKUP($C28,Sheet5!$C:$K,COLUMN(Sheet5!F$2)-2,0),"")</f>
        <v>0.17532467532467499</v>
      </c>
      <c r="S28" s="62">
        <f>IFERROR(VLOOKUP($C28,Sheet5!$C:$K,COLUMN(Sheet5!G$2)-2,0),"")</f>
        <v>0.30769230769230799</v>
      </c>
      <c r="T28" s="62">
        <f>IFERROR(VLOOKUP($C28,Sheet5!$C:$K,COLUMN(Sheet5!H$2)-2,0),"")</f>
        <v>0.20895522388059701</v>
      </c>
      <c r="U28" s="63">
        <f>IFERROR(VLOOKUP($C28,Sheet5!$C:$K,COLUMN(Sheet5!I$2)-2,0),"")</f>
        <v>0.38461538461538503</v>
      </c>
    </row>
    <row r="29" spans="2:24" hidden="1" x14ac:dyDescent="0.2">
      <c r="B29" s="46">
        <v>18</v>
      </c>
      <c r="C29" s="60" t="str">
        <f>VLOOKUP($B29,'4'!$A$25:$AK$55,COLUMN('4'!Z$1),0)</f>
        <v>集贤县联济</v>
      </c>
      <c r="D29" s="157" t="str">
        <f>VLOOKUP(C29,'4'!AL:AM,2,0)</f>
        <v>双鸭山城区所</v>
      </c>
      <c r="E29" s="119">
        <f>VLOOKUP($B29,'4'!$A$25:$AK$55,COLUMN('4'!AA$1),0)</f>
        <v>185</v>
      </c>
      <c r="F29" s="120">
        <f>VLOOKUP($B29,'4'!$A$25:$AK$55,COLUMN('4'!AB$1),0)</f>
        <v>296</v>
      </c>
      <c r="G29" s="121">
        <f>VLOOKUP($B29,'4'!$A$25:$AK$55,COLUMN('4'!AC$1),0)</f>
        <v>161</v>
      </c>
      <c r="H29" s="61">
        <f>VLOOKUP($B29,'4'!$A$25:$AK$55,COLUMN('4'!AD$1),0)</f>
        <v>-9.7560975609756073E-2</v>
      </c>
      <c r="I29" s="62">
        <f>VLOOKUP($B29,'4'!$A$25:$AK$55,COLUMN('4'!AE$1),0)</f>
        <v>-3.2679738562091498E-2</v>
      </c>
      <c r="J29" s="63">
        <f>VLOOKUP($B29,'4'!$A$25:$AK$55,COLUMN('4'!AF$1),0)</f>
        <v>-6.3953488372092915E-2</v>
      </c>
      <c r="K29" s="119">
        <f>VLOOKUP($B29,'4'!$A$25:$AK$55,COLUMN('4'!AG$1),0)</f>
        <v>197.5</v>
      </c>
      <c r="L29" s="108">
        <f>VLOOKUP($B29,'4'!$A$25:$AK$55,COLUMN('4'!AH$1),0)</f>
        <v>232</v>
      </c>
      <c r="M29" s="62">
        <f>VLOOKUP($B29,'4'!$A$25:$AK$55,COLUMN('4'!AI$1),0)</f>
        <v>-0.14870689655172409</v>
      </c>
      <c r="N29" s="108">
        <f>VLOOKUP($B29,'4'!$A$25:$AK$55,COLUMN('4'!AJ$1),0)</f>
        <v>197.5</v>
      </c>
      <c r="O29" s="50">
        <f>VLOOKUP($B29,'4'!$A$25:$AK$55,COLUMN('4'!AK$1),0)</f>
        <v>1</v>
      </c>
      <c r="P29" s="61">
        <f>IFERROR(VLOOKUP($C29,Sheet5!$C:$K,COLUMN(Sheet5!D$2)-2,0),"")</f>
        <v>0.66867469879518093</v>
      </c>
      <c r="Q29" s="142">
        <f>IFERROR(VLOOKUP($C29,Sheet5!$C:$K,COLUMN(Sheet5!E$2)-2,0),"")</f>
        <v>0.114285714285714</v>
      </c>
      <c r="R29" s="62">
        <f>IFERROR(VLOOKUP($C29,Sheet5!$C:$K,COLUMN(Sheet5!F$2)-2,0),"")</f>
        <v>0.207236842105263</v>
      </c>
      <c r="S29" s="62">
        <f>IFERROR(VLOOKUP($C29,Sheet5!$C:$K,COLUMN(Sheet5!G$2)-2,0),"")</f>
        <v>0.43589743589743596</v>
      </c>
      <c r="T29" s="62">
        <f>IFERROR(VLOOKUP($C29,Sheet5!$C:$K,COLUMN(Sheet5!H$2)-2,0),"")</f>
        <v>0.3</v>
      </c>
      <c r="U29" s="63">
        <f>IFERROR(VLOOKUP($C29,Sheet5!$C:$K,COLUMN(Sheet5!I$2)-2,0),"")</f>
        <v>0.23684210526315799</v>
      </c>
    </row>
    <row r="30" spans="2:24" hidden="1" x14ac:dyDescent="0.2">
      <c r="B30" s="46">
        <v>19</v>
      </c>
      <c r="C30" s="60" t="str">
        <f>VLOOKUP($B30,'4'!$A$25:$AK$55,COLUMN('4'!Z$1),0)</f>
        <v>建三江广优</v>
      </c>
      <c r="D30" s="157" t="str">
        <f>VLOOKUP(C30,'4'!AL:AM,2,0)</f>
        <v>双鸭山外埠所</v>
      </c>
      <c r="E30" s="119">
        <f>VLOOKUP($B30,'4'!$A$25:$AK$55,COLUMN('4'!AA$1),0)</f>
        <v>193</v>
      </c>
      <c r="F30" s="120">
        <f>VLOOKUP($B30,'4'!$A$25:$AK$55,COLUMN('4'!AB$1),0)</f>
        <v>336</v>
      </c>
      <c r="G30" s="121">
        <f>VLOOKUP($B30,'4'!$A$25:$AK$55,COLUMN('4'!AC$1),0)</f>
        <v>179</v>
      </c>
      <c r="H30" s="61">
        <f>VLOOKUP($B30,'4'!$A$25:$AK$55,COLUMN('4'!AD$1),0)</f>
        <v>-9.3896713615023386E-2</v>
      </c>
      <c r="I30" s="62">
        <f>VLOOKUP($B30,'4'!$A$25:$AK$55,COLUMN('4'!AE$1),0)</f>
        <v>-1.1764705882352899E-2</v>
      </c>
      <c r="J30" s="63">
        <f>VLOOKUP($B30,'4'!$A$25:$AK$55,COLUMN('4'!AF$1),0)</f>
        <v>-0.11822660098522175</v>
      </c>
      <c r="K30" s="119">
        <f>VLOOKUP($B30,'4'!$A$25:$AK$55,COLUMN('4'!AG$1),0)</f>
        <v>227.5</v>
      </c>
      <c r="L30" s="108">
        <f>VLOOKUP($B30,'4'!$A$25:$AK$55,COLUMN('4'!AH$1),0)</f>
        <v>300</v>
      </c>
      <c r="M30" s="62">
        <f>VLOOKUP($B30,'4'!$A$25:$AK$55,COLUMN('4'!AI$1),0)</f>
        <v>-0.2416666666666667</v>
      </c>
      <c r="N30" s="108">
        <f>VLOOKUP($B30,'4'!$A$25:$AK$55,COLUMN('4'!AJ$1),0)</f>
        <v>227.5</v>
      </c>
      <c r="O30" s="50">
        <f>VLOOKUP($B30,'4'!$A$25:$AK$55,COLUMN('4'!AK$1),0)</f>
        <v>1</v>
      </c>
      <c r="P30" s="61">
        <f>IFERROR(VLOOKUP($C30,Sheet5!$C:$K,COLUMN(Sheet5!D$2)-2,0),"")</f>
        <v>0.82113821138211407</v>
      </c>
      <c r="Q30" s="142">
        <f>IFERROR(VLOOKUP($C30,Sheet5!$C:$K,COLUMN(Sheet5!E$2)-2,0),"")</f>
        <v>0.11111111111111099</v>
      </c>
      <c r="R30" s="62">
        <f>IFERROR(VLOOKUP($C30,Sheet5!$C:$K,COLUMN(Sheet5!F$2)-2,0),"")</f>
        <v>0.19762845849802399</v>
      </c>
      <c r="S30" s="62">
        <f>IFERROR(VLOOKUP($C30,Sheet5!$C:$K,COLUMN(Sheet5!G$2)-2,0),"")</f>
        <v>0.78571428571428603</v>
      </c>
      <c r="T30" s="62">
        <f>IFERROR(VLOOKUP($C30,Sheet5!$C:$K,COLUMN(Sheet5!H$2)-2,0),"")</f>
        <v>0.21825396825396801</v>
      </c>
      <c r="U30" s="63">
        <f>IFERROR(VLOOKUP($C30,Sheet5!$C:$K,COLUMN(Sheet5!I$2)-2,0),"")</f>
        <v>0.28571428571428603</v>
      </c>
    </row>
    <row r="31" spans="2:24" hidden="1" x14ac:dyDescent="0.2">
      <c r="B31" s="46">
        <v>20</v>
      </c>
      <c r="C31" s="60" t="str">
        <f>VLOOKUP($B31,'4'!$A$25:$AK$55,COLUMN('4'!Z$1),0)</f>
        <v>萝北金宏旺</v>
      </c>
      <c r="D31" s="157" t="str">
        <f>VLOOKUP(C31,'4'!AL:AM,2,0)</f>
        <v>双鸭山外埠所</v>
      </c>
      <c r="E31" s="119">
        <f>VLOOKUP($B31,'4'!$A$25:$AK$55,COLUMN('4'!AA$1),0)</f>
        <v>196</v>
      </c>
      <c r="F31" s="120">
        <f>VLOOKUP($B31,'4'!$A$25:$AK$55,COLUMN('4'!AB$1),0)</f>
        <v>350</v>
      </c>
      <c r="G31" s="121">
        <f>VLOOKUP($B31,'4'!$A$25:$AK$55,COLUMN('4'!AC$1),0)</f>
        <v>260</v>
      </c>
      <c r="H31" s="61">
        <f>VLOOKUP($B31,'4'!$A$25:$AK$55,COLUMN('4'!AD$1),0)</f>
        <v>0.67521367521367526</v>
      </c>
      <c r="I31" s="62">
        <f>VLOOKUP($B31,'4'!$A$25:$AK$55,COLUMN('4'!AE$1),0)</f>
        <v>-2.777777777777779E-2</v>
      </c>
      <c r="J31" s="63">
        <f>VLOOKUP($B31,'4'!$A$25:$AK$55,COLUMN('4'!AF$1),0)</f>
        <v>8.3333333333333481E-2</v>
      </c>
      <c r="K31" s="119">
        <f>VLOOKUP($B31,'4'!$A$25:$AK$55,COLUMN('4'!AG$1),0)</f>
        <v>241.25</v>
      </c>
      <c r="L31" s="108">
        <f>VLOOKUP($B31,'4'!$A$25:$AK$55,COLUMN('4'!AH$1),0)</f>
        <v>350</v>
      </c>
      <c r="M31" s="62">
        <f>VLOOKUP($B31,'4'!$A$25:$AK$55,COLUMN('4'!AI$1),0)</f>
        <v>-0.31071428571428572</v>
      </c>
      <c r="N31" s="108">
        <f>VLOOKUP($B31,'4'!$A$25:$AK$55,COLUMN('4'!AJ$1),0)</f>
        <v>241.25</v>
      </c>
      <c r="O31" s="50">
        <f>VLOOKUP($B31,'4'!$A$25:$AK$55,COLUMN('4'!AK$1),0)</f>
        <v>1</v>
      </c>
      <c r="P31" s="61">
        <f>IFERROR(VLOOKUP($C31,Sheet5!$C:$K,COLUMN(Sheet5!D$2)-2,0),"")</f>
        <v>0.93975903614457801</v>
      </c>
      <c r="Q31" s="142">
        <f>IFERROR(VLOOKUP($C31,Sheet5!$C:$K,COLUMN(Sheet5!E$2)-2,0),"")</f>
        <v>0.69784172661870503</v>
      </c>
      <c r="R31" s="62">
        <f>IFERROR(VLOOKUP($C31,Sheet5!$C:$K,COLUMN(Sheet5!F$2)-2,0),"")</f>
        <v>0.66844919786096302</v>
      </c>
      <c r="S31" s="62">
        <f>IFERROR(VLOOKUP($C31,Sheet5!$C:$K,COLUMN(Sheet5!G$2)-2,0),"")</f>
        <v>0.69230769230769196</v>
      </c>
      <c r="T31" s="62">
        <f>IFERROR(VLOOKUP($C31,Sheet5!$C:$K,COLUMN(Sheet5!H$2)-2,0),"")</f>
        <v>0.65467625899280601</v>
      </c>
      <c r="U31" s="63">
        <f>IFERROR(VLOOKUP($C31,Sheet5!$C:$K,COLUMN(Sheet5!I$2)-2,0),"")</f>
        <v>0.76923076923076905</v>
      </c>
    </row>
    <row r="32" spans="2:24" hidden="1" x14ac:dyDescent="0.2">
      <c r="B32" s="46">
        <v>21</v>
      </c>
      <c r="C32" s="60" t="str">
        <f>VLOOKUP($B32,'4'!$A$25:$AK$55,COLUMN('4'!Z$1),0)</f>
        <v>鸡西杰旭</v>
      </c>
      <c r="D32" s="157" t="str">
        <f>VLOOKUP(C32,'4'!AL:AM,2,0)</f>
        <v>鸡西城区所</v>
      </c>
      <c r="E32" s="119">
        <f>VLOOKUP($B32,'4'!$A$25:$AK$55,COLUMN('4'!AA$1),0)</f>
        <v>150</v>
      </c>
      <c r="F32" s="120">
        <f>VLOOKUP($B32,'4'!$A$25:$AK$55,COLUMN('4'!AB$1),0)</f>
        <v>186</v>
      </c>
      <c r="G32" s="121">
        <f>VLOOKUP($B32,'4'!$A$25:$AK$55,COLUMN('4'!AC$1),0)</f>
        <v>374</v>
      </c>
      <c r="H32" s="61">
        <f>VLOOKUP($B32,'4'!$A$25:$AK$55,COLUMN('4'!AD$1),0)</f>
        <v>-0.26829268292682928</v>
      </c>
      <c r="I32" s="62">
        <f>VLOOKUP($B32,'4'!$A$25:$AK$55,COLUMN('4'!AE$1),0)</f>
        <v>-0.31868131868131877</v>
      </c>
      <c r="J32" s="63">
        <f>VLOOKUP($B32,'4'!$A$25:$AK$55,COLUMN('4'!AF$1),0)</f>
        <v>0.81553398058252435</v>
      </c>
      <c r="K32" s="119">
        <f>VLOOKUP($B32,'4'!$A$25:$AK$55,COLUMN('4'!AG$1),0)</f>
        <v>298.75</v>
      </c>
      <c r="L32" s="108">
        <f>VLOOKUP($B32,'4'!$A$25:$AK$55,COLUMN('4'!AH$1),0)</f>
        <v>436</v>
      </c>
      <c r="M32" s="62">
        <f>VLOOKUP($B32,'4'!$A$25:$AK$55,COLUMN('4'!AI$1),0)</f>
        <v>-0.31479357798165142</v>
      </c>
      <c r="N32" s="108">
        <f>VLOOKUP($B32,'4'!$A$25:$AK$55,COLUMN('4'!AJ$1),0)</f>
        <v>298.75</v>
      </c>
      <c r="O32" s="50">
        <f>VLOOKUP($B32,'4'!$A$25:$AK$55,COLUMN('4'!AK$1),0)</f>
        <v>1</v>
      </c>
      <c r="P32" s="61">
        <f>IFERROR(VLOOKUP($C32,Sheet5!$C:$K,COLUMN(Sheet5!D$2)-2,0),"")</f>
        <v>0.92021276595744694</v>
      </c>
      <c r="Q32" s="142">
        <f>IFERROR(VLOOKUP($C32,Sheet5!$C:$K,COLUMN(Sheet5!E$2)-2,0),"")</f>
        <v>0.13880126182965299</v>
      </c>
      <c r="R32" s="62">
        <f>IFERROR(VLOOKUP($C32,Sheet5!$C:$K,COLUMN(Sheet5!F$2)-2,0),"")</f>
        <v>0.212471131639723</v>
      </c>
      <c r="S32" s="62">
        <f>IFERROR(VLOOKUP($C32,Sheet5!$C:$K,COLUMN(Sheet5!G$2)-2,0),"")</f>
        <v>0.27586206896551702</v>
      </c>
      <c r="T32" s="62">
        <f>IFERROR(VLOOKUP($C32,Sheet5!$C:$K,COLUMN(Sheet5!H$2)-2,0),"")</f>
        <v>0.189873417721519</v>
      </c>
      <c r="U32" s="63">
        <f>IFERROR(VLOOKUP($C32,Sheet5!$C:$K,COLUMN(Sheet5!I$2)-2,0),"")</f>
        <v>0.19298245614035101</v>
      </c>
    </row>
    <row r="33" spans="2:24" hidden="1" x14ac:dyDescent="0.2">
      <c r="B33" s="46">
        <v>22</v>
      </c>
      <c r="C33" s="60" t="str">
        <f>VLOOKUP($B33,'4'!$A$25:$AK$55,COLUMN('4'!Z$1),0)</f>
        <v>友谊名庄</v>
      </c>
      <c r="D33" s="157" t="str">
        <f>VLOOKUP(C33,'4'!AL:AM,2,0)</f>
        <v>七台河外埠所</v>
      </c>
      <c r="E33" s="119">
        <f>VLOOKUP($B33,'4'!$A$25:$AK$55,COLUMN('4'!AA$1),0)</f>
        <v>92</v>
      </c>
      <c r="F33" s="120">
        <f>VLOOKUP($B33,'4'!$A$25:$AK$55,COLUMN('4'!AB$1),0)</f>
        <v>105</v>
      </c>
      <c r="G33" s="121">
        <f>VLOOKUP($B33,'4'!$A$25:$AK$55,COLUMN('4'!AC$1),0)</f>
        <v>85</v>
      </c>
      <c r="H33" s="61">
        <f>VLOOKUP($B33,'4'!$A$25:$AK$55,COLUMN('4'!AD$1),0)</f>
        <v>-9.8039215686274495E-2</v>
      </c>
      <c r="I33" s="62">
        <f>VLOOKUP($B33,'4'!$A$25:$AK$55,COLUMN('4'!AE$1),0)</f>
        <v>-1.8691588785046731E-2</v>
      </c>
      <c r="J33" s="63">
        <f>VLOOKUP($B33,'4'!$A$25:$AK$55,COLUMN('4'!AF$1),0)</f>
        <v>0.7</v>
      </c>
      <c r="K33" s="119">
        <f>VLOOKUP($B33,'4'!$A$25:$AK$55,COLUMN('4'!AG$1),0)</f>
        <v>125</v>
      </c>
      <c r="L33" s="108">
        <f>VLOOKUP($B33,'4'!$A$25:$AK$55,COLUMN('4'!AH$1),0)</f>
        <v>202</v>
      </c>
      <c r="M33" s="62">
        <f>VLOOKUP($B33,'4'!$A$25:$AK$55,COLUMN('4'!AI$1),0)</f>
        <v>-0.38118811881188119</v>
      </c>
      <c r="N33" s="108">
        <f>VLOOKUP($B33,'4'!$A$25:$AK$55,COLUMN('4'!AJ$1),0)</f>
        <v>125</v>
      </c>
      <c r="O33" s="50">
        <f>VLOOKUP($B33,'4'!$A$25:$AK$55,COLUMN('4'!AK$1),0)</f>
        <v>1</v>
      </c>
      <c r="P33" s="61">
        <f>IFERROR(VLOOKUP($C33,Sheet5!$C:$K,COLUMN(Sheet5!D$2)-2,0),"")</f>
        <v>0.80412371134020599</v>
      </c>
      <c r="Q33" s="142">
        <f>IFERROR(VLOOKUP($C33,Sheet5!$C:$K,COLUMN(Sheet5!E$2)-2,0),"")</f>
        <v>0.21008403361344499</v>
      </c>
      <c r="R33" s="62">
        <f>IFERROR(VLOOKUP($C33,Sheet5!$C:$K,COLUMN(Sheet5!F$2)-2,0),"")</f>
        <v>0.21076233183856499</v>
      </c>
      <c r="S33" s="62">
        <f>IFERROR(VLOOKUP($C33,Sheet5!$C:$K,COLUMN(Sheet5!G$2)-2,0),"")</f>
        <v>0.58333333333333304</v>
      </c>
      <c r="T33" s="62">
        <f>IFERROR(VLOOKUP($C33,Sheet5!$C:$K,COLUMN(Sheet5!H$2)-2,0),"")</f>
        <v>0.25217391304347797</v>
      </c>
      <c r="U33" s="63">
        <f>IFERROR(VLOOKUP($C33,Sheet5!$C:$K,COLUMN(Sheet5!I$2)-2,0),"")</f>
        <v>0.5</v>
      </c>
    </row>
    <row r="34" spans="2:24" hidden="1" x14ac:dyDescent="0.2">
      <c r="B34" s="46">
        <v>23</v>
      </c>
      <c r="C34" s="60" t="str">
        <f>VLOOKUP($B34,'4'!$A$25:$AK$55,COLUMN('4'!Z$1),0)</f>
        <v>富锦金铭</v>
      </c>
      <c r="D34" s="157" t="str">
        <f>VLOOKUP(C34,'4'!AL:AM,2,0)</f>
        <v>双鸭山外埠所</v>
      </c>
      <c r="E34" s="119">
        <f>VLOOKUP($B34,'4'!$A$25:$AK$55,COLUMN('4'!AA$1),0)</f>
        <v>115</v>
      </c>
      <c r="F34" s="120">
        <f>VLOOKUP($B34,'4'!$A$25:$AK$55,COLUMN('4'!AB$1),0)</f>
        <v>430</v>
      </c>
      <c r="G34" s="121">
        <f>VLOOKUP($B34,'4'!$A$25:$AK$55,COLUMN('4'!AC$1),0)</f>
        <v>287</v>
      </c>
      <c r="H34" s="61">
        <f>VLOOKUP($B34,'4'!$A$25:$AK$55,COLUMN('4'!AD$1),0)</f>
        <v>-0.4417475728155339</v>
      </c>
      <c r="I34" s="62">
        <f>VLOOKUP($B34,'4'!$A$25:$AK$55,COLUMN('4'!AE$1),0)</f>
        <v>-1.8264840182648401E-2</v>
      </c>
      <c r="J34" s="63">
        <f>VLOOKUP($B34,'4'!$A$25:$AK$55,COLUMN('4'!AF$1),0)</f>
        <v>-8.0128205128205177E-2</v>
      </c>
      <c r="K34" s="119">
        <f>VLOOKUP($B34,'4'!$A$25:$AK$55,COLUMN('4'!AG$1),0)</f>
        <v>162.5</v>
      </c>
      <c r="L34" s="108">
        <f>VLOOKUP($B34,'4'!$A$25:$AK$55,COLUMN('4'!AH$1),0)</f>
        <v>295</v>
      </c>
      <c r="M34" s="62">
        <f>VLOOKUP($B34,'4'!$A$25:$AK$55,COLUMN('4'!AI$1),0)</f>
        <v>-0.44915254237288138</v>
      </c>
      <c r="N34" s="108">
        <f>VLOOKUP($B34,'4'!$A$25:$AK$55,COLUMN('4'!AJ$1),0)</f>
        <v>162.5</v>
      </c>
      <c r="O34" s="50">
        <f>VLOOKUP($B34,'4'!$A$25:$AK$55,COLUMN('4'!AK$1),0)</f>
        <v>1</v>
      </c>
      <c r="P34" s="61">
        <f>IFERROR(VLOOKUP($C34,Sheet5!$C:$K,COLUMN(Sheet5!D$2)-2,0),"")</f>
        <v>0.83783783783783805</v>
      </c>
      <c r="Q34" s="142">
        <f>IFERROR(VLOOKUP($C34,Sheet5!$C:$K,COLUMN(Sheet5!E$2)-2,0),"")</f>
        <v>0.26339285714285698</v>
      </c>
      <c r="R34" s="62">
        <f>IFERROR(VLOOKUP($C34,Sheet5!$C:$K,COLUMN(Sheet5!F$2)-2,0),"")</f>
        <v>0.214067278287462</v>
      </c>
      <c r="S34" s="62">
        <f>IFERROR(VLOOKUP($C34,Sheet5!$C:$K,COLUMN(Sheet5!G$2)-2,0),"")</f>
        <v>0.73076923076923095</v>
      </c>
      <c r="T34" s="62">
        <f>IFERROR(VLOOKUP($C34,Sheet5!$C:$K,COLUMN(Sheet5!H$2)-2,0),"")</f>
        <v>0.35714285714285698</v>
      </c>
      <c r="U34" s="63">
        <f>IFERROR(VLOOKUP($C34,Sheet5!$C:$K,COLUMN(Sheet5!I$2)-2,0),"")</f>
        <v>0.42307692307692302</v>
      </c>
    </row>
    <row r="35" spans="2:24" hidden="1" x14ac:dyDescent="0.2">
      <c r="B35" s="46">
        <v>24</v>
      </c>
      <c r="C35" s="60" t="str">
        <f>VLOOKUP($B35,'4'!$A$25:$AK$55,COLUMN('4'!Z$1),0)</f>
        <v>汤原县大贵</v>
      </c>
      <c r="D35" s="157" t="str">
        <f>VLOOKUP(C35,'4'!AL:AM,2,0)</f>
        <v>七台河外埠所</v>
      </c>
      <c r="E35" s="119">
        <f>VLOOKUP($B35,'4'!$A$25:$AK$55,COLUMN('4'!AA$1),0)</f>
        <v>100</v>
      </c>
      <c r="F35" s="120">
        <f>VLOOKUP($B35,'4'!$A$25:$AK$55,COLUMN('4'!AB$1),0)</f>
        <v>215</v>
      </c>
      <c r="G35" s="121">
        <f>VLOOKUP($B35,'4'!$A$25:$AK$55,COLUMN('4'!AC$1),0)</f>
        <v>169</v>
      </c>
      <c r="H35" s="61">
        <f>VLOOKUP($B35,'4'!$A$25:$AK$55,COLUMN('4'!AD$1),0)</f>
        <v>-0.38271604938271608</v>
      </c>
      <c r="I35" s="62">
        <f>VLOOKUP($B35,'4'!$A$25:$AK$55,COLUMN('4'!AE$1),0)</f>
        <v>-1.8264840182648401E-2</v>
      </c>
      <c r="J35" s="63">
        <f>VLOOKUP($B35,'4'!$A$25:$AK$55,COLUMN('4'!AF$1),0)</f>
        <v>5.6250000000000133E-2</v>
      </c>
      <c r="K35" s="119">
        <f>VLOOKUP($B35,'4'!$A$25:$AK$55,COLUMN('4'!AG$1),0)</f>
        <v>87.5</v>
      </c>
      <c r="L35" s="108">
        <f>VLOOKUP($B35,'4'!$A$25:$AK$55,COLUMN('4'!AH$1),0)</f>
        <v>201</v>
      </c>
      <c r="M35" s="62">
        <f>VLOOKUP($B35,'4'!$A$25:$AK$55,COLUMN('4'!AI$1),0)</f>
        <v>-0.56467661691542292</v>
      </c>
      <c r="N35" s="108">
        <f>VLOOKUP($B35,'4'!$A$25:$AK$55,COLUMN('4'!AJ$1),0)</f>
        <v>87.5</v>
      </c>
      <c r="O35" s="50">
        <f>VLOOKUP($B35,'4'!$A$25:$AK$55,COLUMN('4'!AK$1),0)</f>
        <v>1</v>
      </c>
      <c r="P35" s="61">
        <f>IFERROR(VLOOKUP($C35,Sheet5!$C:$K,COLUMN(Sheet5!D$2)-2,0),"")</f>
        <v>9.5238095238095205E-2</v>
      </c>
      <c r="Q35" s="142">
        <f>IFERROR(VLOOKUP($C35,Sheet5!$C:$K,COLUMN(Sheet5!E$2)-2,0),"")</f>
        <v>0.22368421052631601</v>
      </c>
      <c r="R35" s="62">
        <f>IFERROR(VLOOKUP($C35,Sheet5!$C:$K,COLUMN(Sheet5!F$2)-2,0),"")</f>
        <v>0.16935483870967702</v>
      </c>
      <c r="S35" s="62">
        <f>IFERROR(VLOOKUP($C35,Sheet5!$C:$K,COLUMN(Sheet5!G$2)-2,0),"")</f>
        <v>0.9</v>
      </c>
      <c r="T35" s="62">
        <f>IFERROR(VLOOKUP($C35,Sheet5!$C:$K,COLUMN(Sheet5!H$2)-2,0),"")</f>
        <v>0.38157894736842102</v>
      </c>
      <c r="U35" s="63">
        <f>IFERROR(VLOOKUP($C35,Sheet5!$C:$K,COLUMN(Sheet5!I$2)-2,0),"")</f>
        <v>0.8</v>
      </c>
    </row>
    <row r="36" spans="2:24" hidden="1" x14ac:dyDescent="0.2">
      <c r="B36" s="46">
        <v>25</v>
      </c>
      <c r="C36" s="60" t="str">
        <f>VLOOKUP($B36,'4'!$A$25:$AK$55,COLUMN('4'!Z$1),0)</f>
        <v>虎林蓝锦</v>
      </c>
      <c r="D36" s="157" t="str">
        <f>VLOOKUP(C36,'4'!AL:AM,2,0)</f>
        <v>双鸭山外埠所</v>
      </c>
      <c r="E36" s="119">
        <f>VLOOKUP($B36,'4'!$A$25:$AK$55,COLUMN('4'!AA$1),0)</f>
        <v>0</v>
      </c>
      <c r="F36" s="120">
        <f>VLOOKUP($B36,'4'!$A$25:$AK$55,COLUMN('4'!AB$1),0)</f>
        <v>364</v>
      </c>
      <c r="G36" s="121">
        <f>VLOOKUP($B36,'4'!$A$25:$AK$55,COLUMN('4'!AC$1),0)</f>
        <v>254</v>
      </c>
      <c r="H36" s="61">
        <f>VLOOKUP($B36,'4'!$A$25:$AK$55,COLUMN('4'!AD$1),0)</f>
        <v>-1</v>
      </c>
      <c r="I36" s="62">
        <f>VLOOKUP($B36,'4'!$A$25:$AK$55,COLUMN('4'!AE$1),0)</f>
        <v>0.35315985130111516</v>
      </c>
      <c r="J36" s="63">
        <f>VLOOKUP($B36,'4'!$A$25:$AK$55,COLUMN('4'!AF$1),0)</f>
        <v>-8.3032490974729312E-2</v>
      </c>
      <c r="K36" s="119">
        <f>VLOOKUP($B36,'4'!$A$25:$AK$55,COLUMN('4'!AG$1),0)</f>
        <v>81.25</v>
      </c>
      <c r="L36" s="108">
        <f>VLOOKUP($B36,'4'!$A$25:$AK$55,COLUMN('4'!AH$1),0)</f>
        <v>216</v>
      </c>
      <c r="M36" s="62">
        <f>VLOOKUP($B36,'4'!$A$25:$AK$55,COLUMN('4'!AI$1),0)</f>
        <v>-0.62384259259259256</v>
      </c>
      <c r="N36" s="108">
        <f>VLOOKUP($B36,'4'!$A$25:$AK$55,COLUMN('4'!AJ$1),0)</f>
        <v>81.25</v>
      </c>
      <c r="O36" s="50">
        <f>VLOOKUP($B36,'4'!$A$25:$AK$55,COLUMN('4'!AK$1),0)</f>
        <v>1</v>
      </c>
      <c r="P36" s="61">
        <f>IFERROR(VLOOKUP($C36,Sheet5!$C:$K,COLUMN(Sheet5!D$2)-2,0),"")</f>
        <v>0.29310344827586199</v>
      </c>
      <c r="Q36" s="142">
        <f>IFERROR(VLOOKUP($C36,Sheet5!$C:$K,COLUMN(Sheet5!E$2)-2,0),"")</f>
        <v>0.10243902439024399</v>
      </c>
      <c r="R36" s="62">
        <f>IFERROR(VLOOKUP($C36,Sheet5!$C:$K,COLUMN(Sheet5!F$2)-2,0),"")</f>
        <v>0.14657980456026101</v>
      </c>
      <c r="S36" s="62">
        <f>IFERROR(VLOOKUP($C36,Sheet5!$C:$K,COLUMN(Sheet5!G$2)-2,0),"")</f>
        <v>0.75</v>
      </c>
      <c r="T36" s="62">
        <f>IFERROR(VLOOKUP($C36,Sheet5!$C:$K,COLUMN(Sheet5!H$2)-2,0),"")</f>
        <v>0.25980392156862697</v>
      </c>
      <c r="U36" s="63">
        <f>IFERROR(VLOOKUP($C36,Sheet5!$C:$K,COLUMN(Sheet5!I$2)-2,0),"")</f>
        <v>0.45</v>
      </c>
    </row>
    <row r="37" spans="2:24" hidden="1" x14ac:dyDescent="0.2">
      <c r="B37" s="46">
        <v>26</v>
      </c>
      <c r="C37" s="60" t="str">
        <f>VLOOKUP($B37,'4'!$A$25:$AK$55,COLUMN('4'!Z$1),0)</f>
        <v>鹤岗鸿翊隆</v>
      </c>
      <c r="D37" s="157" t="str">
        <f>VLOOKUP(C37,'4'!AL:AM,2,0)</f>
        <v>鹤岗城区所</v>
      </c>
      <c r="E37" s="119">
        <f>VLOOKUP($B37,'4'!$A$25:$AK$55,COLUMN('4'!AA$1),0)</f>
        <v>150</v>
      </c>
      <c r="F37" s="120">
        <f>VLOOKUP($B37,'4'!$A$25:$AK$55,COLUMN('4'!AB$1),0)</f>
        <v>485</v>
      </c>
      <c r="G37" s="121">
        <f>VLOOKUP($B37,'4'!$A$25:$AK$55,COLUMN('4'!AC$1),0)</f>
        <v>248</v>
      </c>
      <c r="H37" s="61">
        <f>VLOOKUP($B37,'4'!$A$25:$AK$55,COLUMN('4'!AD$1),0)</f>
        <v>-0.19786096256684493</v>
      </c>
      <c r="I37" s="62">
        <f>VLOOKUP($B37,'4'!$A$25:$AK$55,COLUMN('4'!AE$1),0)</f>
        <v>-0.23981191222570541</v>
      </c>
      <c r="J37" s="63">
        <f>VLOOKUP($B37,'4'!$A$25:$AK$55,COLUMN('4'!AF$1),0)</f>
        <v>-0.18151815181518149</v>
      </c>
      <c r="K37" s="119">
        <f>VLOOKUP($B37,'4'!$A$25:$AK$55,COLUMN('4'!AG$1),0)</f>
        <v>151.25</v>
      </c>
      <c r="L37" s="108">
        <f>VLOOKUP($B37,'4'!$A$25:$AK$55,COLUMN('4'!AH$1),0)</f>
        <v>449</v>
      </c>
      <c r="M37" s="62">
        <f>VLOOKUP($B37,'4'!$A$25:$AK$55,COLUMN('4'!AI$1),0)</f>
        <v>-0.6631403118040089</v>
      </c>
      <c r="N37" s="108">
        <f>VLOOKUP($B37,'4'!$A$25:$AK$55,COLUMN('4'!AJ$1),0)</f>
        <v>151.25</v>
      </c>
      <c r="O37" s="50">
        <f>VLOOKUP($B37,'4'!$A$25:$AK$55,COLUMN('4'!AK$1),0)</f>
        <v>1</v>
      </c>
      <c r="P37" s="61">
        <f>IFERROR(VLOOKUP($C37,Sheet5!$C:$K,COLUMN(Sheet5!D$2)-2,0),"")</f>
        <v>0.93920972644376899</v>
      </c>
      <c r="Q37" s="142">
        <f>IFERROR(VLOOKUP($C37,Sheet5!$C:$K,COLUMN(Sheet5!E$2)-2,0),"")</f>
        <v>0.22869022869022898</v>
      </c>
      <c r="R37" s="62">
        <f>IFERROR(VLOOKUP($C37,Sheet5!$C:$K,COLUMN(Sheet5!F$2)-2,0),"")</f>
        <v>0.19572368421052602</v>
      </c>
      <c r="S37" s="62">
        <f>IFERROR(VLOOKUP($C37,Sheet5!$C:$K,COLUMN(Sheet5!G$2)-2,0),"")</f>
        <v>0.52542372881355903</v>
      </c>
      <c r="T37" s="62">
        <f>IFERROR(VLOOKUP($C37,Sheet5!$C:$K,COLUMN(Sheet5!H$2)-2,0),"")</f>
        <v>0.20335429769391999</v>
      </c>
      <c r="U37" s="63">
        <f>IFERROR(VLOOKUP($C37,Sheet5!$C:$K,COLUMN(Sheet5!I$2)-2,0),"")</f>
        <v>0.47457627118644097</v>
      </c>
    </row>
    <row r="38" spans="2:24" x14ac:dyDescent="0.2">
      <c r="B38" s="184">
        <v>27</v>
      </c>
      <c r="C38" s="46" t="str">
        <f>VLOOKUP($B38,'4'!$A$25:$AK$55,COLUMN('4'!Z$1),0)</f>
        <v>牡市圣言</v>
      </c>
      <c r="D38" s="60" t="str">
        <f>VLOOKUP(C38,'4'!AL:AM,2,0)</f>
        <v>牡丹江城区所</v>
      </c>
      <c r="E38" s="119">
        <f>VLOOKUP($B38,'4'!$A$25:$AK$55,COLUMN('4'!AA$1),0)</f>
        <v>228</v>
      </c>
      <c r="F38" s="120">
        <f>VLOOKUP($B38,'4'!$A$25:$AK$55,COLUMN('4'!AB$1),0)</f>
        <v>238</v>
      </c>
      <c r="G38" s="121">
        <f>VLOOKUP($B38,'4'!$A$25:$AK$55,COLUMN('4'!AC$1),0)</f>
        <v>150</v>
      </c>
      <c r="H38" s="61">
        <f>VLOOKUP($B38,'4'!$A$25:$AK$55,COLUMN('4'!AD$1),0)</f>
        <v>-0.43842364532019706</v>
      </c>
      <c r="I38" s="62">
        <f>VLOOKUP($B38,'4'!$A$25:$AK$55,COLUMN('4'!AE$1),0)</f>
        <v>-0.58894645941278068</v>
      </c>
      <c r="J38" s="63">
        <f>VLOOKUP($B38,'4'!$A$25:$AK$55,COLUMN('4'!AF$1),0)</f>
        <v>-0.13793103448275856</v>
      </c>
      <c r="K38" s="119">
        <f>VLOOKUP($B38,'4'!$A$25:$AK$55,COLUMN('4'!AG$1),0)</f>
        <v>206.25</v>
      </c>
      <c r="L38" s="108">
        <f>VLOOKUP($B38,'4'!$A$25:$AK$55,COLUMN('4'!AH$1),0)</f>
        <v>654</v>
      </c>
      <c r="M38" s="62">
        <f>VLOOKUP($B38,'4'!$A$25:$AK$55,COLUMN('4'!AI$1),0)</f>
        <v>-0.68463302752293576</v>
      </c>
      <c r="N38" s="108">
        <f>VLOOKUP($B38,'4'!$A$25:$AK$55,COLUMN('4'!AJ$1),0)</f>
        <v>206.25</v>
      </c>
      <c r="O38" s="50">
        <f>VLOOKUP($B38,'4'!$A$25:$AK$55,COLUMN('4'!AK$1),0)</f>
        <v>1</v>
      </c>
      <c r="P38" s="61">
        <f>IFERROR(VLOOKUP($C38,Sheet5!$C:$K,COLUMN(Sheet5!D$2)-2,0),"")</f>
        <v>0.76243093922651894</v>
      </c>
      <c r="Q38" s="142">
        <f>IFERROR(VLOOKUP($C38,Sheet5!$C:$K,COLUMN(Sheet5!E$2)-2,0),"")</f>
        <v>0.18139534883720898</v>
      </c>
      <c r="R38" s="62">
        <f>IFERROR(VLOOKUP($C38,Sheet5!$C:$K,COLUMN(Sheet5!F$2)-2,0),"")</f>
        <v>0.20111731843575398</v>
      </c>
      <c r="S38" s="62">
        <f>IFERROR(VLOOKUP($C38,Sheet5!$C:$K,COLUMN(Sheet5!G$2)-2,0),"")</f>
        <v>0.33783783783783794</v>
      </c>
      <c r="T38" s="62">
        <f>IFERROR(VLOOKUP($C38,Sheet5!$C:$K,COLUMN(Sheet5!H$2)-2,0),"")</f>
        <v>0.19902912621359201</v>
      </c>
      <c r="U38" s="63">
        <f>IFERROR(VLOOKUP($C38,Sheet5!$C:$K,COLUMN(Sheet5!I$2)-2,0),"")</f>
        <v>0.25714285714285701</v>
      </c>
      <c r="V38" s="107">
        <v>257</v>
      </c>
      <c r="W38" s="108">
        <v>170.5</v>
      </c>
      <c r="X38" s="109">
        <f>W38-V38</f>
        <v>-86.5</v>
      </c>
    </row>
    <row r="39" spans="2:24" x14ac:dyDescent="0.2">
      <c r="B39" s="184">
        <v>28</v>
      </c>
      <c r="C39" s="46" t="str">
        <f>VLOOKUP($B39,'4'!$A$25:$AK$55,COLUMN('4'!Z$1),0)</f>
        <v>桦川润盈</v>
      </c>
      <c r="D39" s="60" t="str">
        <f>VLOOKUP(C39,'4'!AL:AM,2,0)</f>
        <v>七台河外埠所</v>
      </c>
      <c r="E39" s="119">
        <f>VLOOKUP($B39,'4'!$A$25:$AK$55,COLUMN('4'!AA$1),0)</f>
        <v>192</v>
      </c>
      <c r="F39" s="120">
        <f>VLOOKUP($B39,'4'!$A$25:$AK$55,COLUMN('4'!AB$1),0)</f>
        <v>265</v>
      </c>
      <c r="G39" s="121">
        <f>VLOOKUP($B39,'4'!$A$25:$AK$55,COLUMN('4'!AC$1),0)</f>
        <v>169</v>
      </c>
      <c r="H39" s="61">
        <f>VLOOKUP($B39,'4'!$A$25:$AK$55,COLUMN('4'!AD$1),0)</f>
        <v>0.19999999999999996</v>
      </c>
      <c r="I39" s="62">
        <f>VLOOKUP($B39,'4'!$A$25:$AK$55,COLUMN('4'!AE$1),0)</f>
        <v>-2.5735294117647078E-2</v>
      </c>
      <c r="J39" s="63">
        <f>VLOOKUP($B39,'4'!$A$25:$AK$55,COLUMN('4'!AF$1),0)</f>
        <v>5.6250000000000133E-2</v>
      </c>
      <c r="K39" s="119">
        <f>VLOOKUP($B39,'4'!$A$25:$AK$55,COLUMN('4'!AG$1),0)</f>
        <v>62.5</v>
      </c>
      <c r="L39" s="108">
        <f>VLOOKUP($B39,'4'!$A$25:$AK$55,COLUMN('4'!AH$1),0)</f>
        <v>200</v>
      </c>
      <c r="M39" s="62">
        <f>VLOOKUP($B39,'4'!$A$25:$AK$55,COLUMN('4'!AI$1),0)</f>
        <v>-0.6875</v>
      </c>
      <c r="N39" s="108">
        <f>VLOOKUP($B39,'4'!$A$25:$AK$55,COLUMN('4'!AJ$1),0)</f>
        <v>62.5</v>
      </c>
      <c r="O39" s="50">
        <f>VLOOKUP($B39,'4'!$A$25:$AK$55,COLUMN('4'!AK$1),0)</f>
        <v>1</v>
      </c>
      <c r="P39" s="61">
        <f>IFERROR(VLOOKUP($C39,Sheet5!$C:$K,COLUMN(Sheet5!D$2)-2,0),"")</f>
        <v>0.94308943089430897</v>
      </c>
      <c r="Q39" s="142">
        <f>IFERROR(VLOOKUP($C39,Sheet5!$C:$K,COLUMN(Sheet5!E$2)-2,0),"")</f>
        <v>9.7087378640776698E-2</v>
      </c>
      <c r="R39" s="62">
        <f>IFERROR(VLOOKUP($C39,Sheet5!$C:$K,COLUMN(Sheet5!F$2)-2,0),"")</f>
        <v>0.11636363636363599</v>
      </c>
      <c r="S39" s="62">
        <f>IFERROR(VLOOKUP($C39,Sheet5!$C:$K,COLUMN(Sheet5!G$2)-2,0),"")</f>
        <v>0.38461538461538503</v>
      </c>
      <c r="T39" s="62">
        <f>IFERROR(VLOOKUP($C39,Sheet5!$C:$K,COLUMN(Sheet5!H$2)-2,0),"")</f>
        <v>0.20388349514563101</v>
      </c>
      <c r="U39" s="63">
        <f>IFERROR(VLOOKUP($C39,Sheet5!$C:$K,COLUMN(Sheet5!I$2)-2,0),"")</f>
        <v>0.230769230769231</v>
      </c>
      <c r="V39" s="107">
        <v>484</v>
      </c>
      <c r="W39" s="108">
        <v>49</v>
      </c>
      <c r="X39" s="109">
        <f t="shared" ref="X39:X42" si="0">W39-V39</f>
        <v>-435</v>
      </c>
    </row>
    <row r="40" spans="2:24" x14ac:dyDescent="0.2">
      <c r="B40" s="184">
        <v>29</v>
      </c>
      <c r="C40" s="46" t="str">
        <f>VLOOKUP($B40,'4'!$A$25:$AK$55,COLUMN('4'!Z$1),0)</f>
        <v>密山隆旺</v>
      </c>
      <c r="D40" s="60" t="str">
        <f>VLOOKUP(C40,'4'!AL:AM,2,0)</f>
        <v>鸡西城区所</v>
      </c>
      <c r="E40" s="119">
        <f>VLOOKUP($B40,'4'!$A$25:$AK$55,COLUMN('4'!AA$1),0)</f>
        <v>212</v>
      </c>
      <c r="F40" s="120">
        <f>VLOOKUP($B40,'4'!$A$25:$AK$55,COLUMN('4'!AB$1),0)</f>
        <v>350</v>
      </c>
      <c r="G40" s="121">
        <f>VLOOKUP($B40,'4'!$A$25:$AK$55,COLUMN('4'!AC$1),0)</f>
        <v>291</v>
      </c>
      <c r="H40" s="61">
        <f>VLOOKUP($B40,'4'!$A$25:$AK$55,COLUMN('4'!AD$1),0)</f>
        <v>-9.4017094017094127E-2</v>
      </c>
      <c r="I40" s="62">
        <f>VLOOKUP($B40,'4'!$A$25:$AK$55,COLUMN('4'!AE$1),0)</f>
        <v>-2.777777777777779E-2</v>
      </c>
      <c r="J40" s="63">
        <f>VLOOKUP($B40,'4'!$A$25:$AK$55,COLUMN('4'!AF$1),0)</f>
        <v>-4.590163934426239E-2</v>
      </c>
      <c r="K40" s="119">
        <f>VLOOKUP($B40,'4'!$A$25:$AK$55,COLUMN('4'!AG$1),0)</f>
        <v>81.25</v>
      </c>
      <c r="L40" s="108">
        <f>VLOOKUP($B40,'4'!$A$25:$AK$55,COLUMN('4'!AH$1),0)</f>
        <v>300</v>
      </c>
      <c r="M40" s="62">
        <f>VLOOKUP($B40,'4'!$A$25:$AK$55,COLUMN('4'!AI$1),0)</f>
        <v>-0.72916666666666674</v>
      </c>
      <c r="N40" s="108">
        <f>VLOOKUP($B40,'4'!$A$25:$AK$55,COLUMN('4'!AJ$1),0)</f>
        <v>81.25</v>
      </c>
      <c r="O40" s="50">
        <f>VLOOKUP($B40,'4'!$A$25:$AK$55,COLUMN('4'!AK$1),0)</f>
        <v>1</v>
      </c>
      <c r="P40" s="61">
        <f>IFERROR(VLOOKUP($C40,Sheet5!$C:$K,COLUMN(Sheet5!D$2)-2,0),"")</f>
        <v>0.81159420289855111</v>
      </c>
      <c r="Q40" s="142">
        <f>IFERROR(VLOOKUP($C40,Sheet5!$C:$K,COLUMN(Sheet5!E$2)-2,0),"")</f>
        <v>0.34166666666666701</v>
      </c>
      <c r="R40" s="62">
        <f>IFERROR(VLOOKUP($C40,Sheet5!$C:$K,COLUMN(Sheet5!F$2)-2,0),"")</f>
        <v>0.30727762803234504</v>
      </c>
      <c r="S40" s="62">
        <f>IFERROR(VLOOKUP($C40,Sheet5!$C:$K,COLUMN(Sheet5!G$2)-2,0),"")</f>
        <v>0.76470588235294101</v>
      </c>
      <c r="T40" s="62">
        <f>IFERROR(VLOOKUP($C40,Sheet5!$C:$K,COLUMN(Sheet5!H$2)-2,0),"")</f>
        <v>0.37916666666666698</v>
      </c>
      <c r="U40" s="63">
        <f>IFERROR(VLOOKUP($C40,Sheet5!$C:$K,COLUMN(Sheet5!I$2)-2,0),"")</f>
        <v>0.58823529411764708</v>
      </c>
      <c r="V40" s="107">
        <v>738</v>
      </c>
      <c r="W40" s="108">
        <v>558</v>
      </c>
      <c r="X40" s="109">
        <f t="shared" si="0"/>
        <v>-180</v>
      </c>
    </row>
    <row r="41" spans="2:24" x14ac:dyDescent="0.2">
      <c r="B41" s="184">
        <v>30</v>
      </c>
      <c r="C41" s="46" t="str">
        <f>VLOOKUP($B41,'4'!$A$25:$AK$55,COLUMN('4'!Z$1),0)</f>
        <v>佳木斯宏满佳</v>
      </c>
      <c r="D41" s="60" t="str">
        <f>VLOOKUP(C41,'4'!AL:AM,2,0)</f>
        <v>佳木斯城区所</v>
      </c>
      <c r="E41" s="119">
        <f>VLOOKUP($B41,'4'!$A$25:$AK$55,COLUMN('4'!AA$1),0)</f>
        <v>150</v>
      </c>
      <c r="F41" s="120">
        <f>VLOOKUP($B41,'4'!$A$25:$AK$55,COLUMN('4'!AB$1),0)</f>
        <v>313</v>
      </c>
      <c r="G41" s="121">
        <f>VLOOKUP($B41,'4'!$A$25:$AK$55,COLUMN('4'!AC$1),0)</f>
        <v>170</v>
      </c>
      <c r="H41" s="61">
        <f>VLOOKUP($B41,'4'!$A$25:$AK$55,COLUMN('4'!AD$1),0)</f>
        <v>-0.21052631578947367</v>
      </c>
      <c r="I41" s="62">
        <f>VLOOKUP($B41,'4'!$A$25:$AK$55,COLUMN('4'!AE$1),0)</f>
        <v>0.27755102040816326</v>
      </c>
      <c r="J41" s="63">
        <f>VLOOKUP($B41,'4'!$A$25:$AK$55,COLUMN('4'!AF$1),0)</f>
        <v>9.6774193548387233E-2</v>
      </c>
      <c r="K41" s="119">
        <f>VLOOKUP($B41,'4'!$A$25:$AK$55,COLUMN('4'!AG$1),0)</f>
        <v>52.5</v>
      </c>
      <c r="L41" s="108">
        <f>VLOOKUP($B41,'4'!$A$25:$AK$55,COLUMN('4'!AH$1),0)</f>
        <v>200</v>
      </c>
      <c r="M41" s="62">
        <f>VLOOKUP($B41,'4'!$A$25:$AK$55,COLUMN('4'!AI$1),0)</f>
        <v>-0.73750000000000004</v>
      </c>
      <c r="N41" s="108">
        <f>VLOOKUP($B41,'4'!$A$25:$AK$55,COLUMN('4'!AJ$1),0)</f>
        <v>52.5</v>
      </c>
      <c r="O41" s="50">
        <f>VLOOKUP($B41,'4'!$A$25:$AK$55,COLUMN('4'!AK$1),0)</f>
        <v>1</v>
      </c>
      <c r="P41" s="61" t="str">
        <f>IFERROR(VLOOKUP($C41,Sheet5!$C:$K,COLUMN(Sheet5!D$2)-2,0),"")</f>
        <v/>
      </c>
      <c r="Q41" s="142" t="str">
        <f>IFERROR(VLOOKUP($C41,Sheet5!$C:$K,COLUMN(Sheet5!E$2)-2,0),"")</f>
        <v/>
      </c>
      <c r="R41" s="62" t="str">
        <f>IFERROR(VLOOKUP($C41,Sheet5!$C:$K,COLUMN(Sheet5!F$2)-2,0),"")</f>
        <v/>
      </c>
      <c r="S41" s="62" t="str">
        <f>IFERROR(VLOOKUP($C41,Sheet5!$C:$K,COLUMN(Sheet5!G$2)-2,0),"")</f>
        <v/>
      </c>
      <c r="T41" s="62" t="str">
        <f>IFERROR(VLOOKUP($C41,Sheet5!$C:$K,COLUMN(Sheet5!H$2)-2,0),"")</f>
        <v/>
      </c>
      <c r="U41" s="63" t="str">
        <f>IFERROR(VLOOKUP($C41,Sheet5!$C:$K,COLUMN(Sheet5!I$2)-2,0),"")</f>
        <v/>
      </c>
      <c r="V41" s="107">
        <v>435</v>
      </c>
      <c r="W41" s="108">
        <v>341</v>
      </c>
      <c r="X41" s="109">
        <f t="shared" si="0"/>
        <v>-94</v>
      </c>
    </row>
    <row r="42" spans="2:24" x14ac:dyDescent="0.2">
      <c r="B42" s="185">
        <v>31</v>
      </c>
      <c r="C42" s="51" t="str">
        <f>VLOOKUP($B42,'4'!$A$25:$AK$55,COLUMN('4'!Z$1),0)</f>
        <v>宁安铭达</v>
      </c>
      <c r="D42" s="64" t="str">
        <f>VLOOKUP(C42,'4'!AL:AM,2,0)</f>
        <v>牡丹江城区所</v>
      </c>
      <c r="E42" s="122">
        <f>VLOOKUP($B42,'4'!$A$25:$AK$55,COLUMN('4'!AA$1),0)</f>
        <v>210</v>
      </c>
      <c r="F42" s="123">
        <f>VLOOKUP($B42,'4'!$A$25:$AK$55,COLUMN('4'!AB$1),0)</f>
        <v>365</v>
      </c>
      <c r="G42" s="124">
        <f>VLOOKUP($B42,'4'!$A$25:$AK$55,COLUMN('4'!AC$1),0)</f>
        <v>190</v>
      </c>
      <c r="H42" s="65">
        <f>VLOOKUP($B42,'4'!$A$25:$AK$55,COLUMN('4'!AD$1),0)</f>
        <v>-9.4827586206896686E-2</v>
      </c>
      <c r="I42" s="66">
        <f>VLOOKUP($B42,'4'!$A$25:$AK$55,COLUMN('4'!AE$1),0)</f>
        <v>-1.3513513513513487E-2</v>
      </c>
      <c r="J42" s="67">
        <f>VLOOKUP($B42,'4'!$A$25:$AK$55,COLUMN('4'!AF$1),0)</f>
        <v>-0.54216867469879515</v>
      </c>
      <c r="K42" s="122">
        <f>VLOOKUP($B42,'4'!$A$25:$AK$55,COLUMN('4'!AG$1),0)</f>
        <v>81.25</v>
      </c>
      <c r="L42" s="111">
        <f>VLOOKUP($B42,'4'!$A$25:$AK$55,COLUMN('4'!AH$1),0)</f>
        <v>500</v>
      </c>
      <c r="M42" s="66">
        <f>VLOOKUP($B42,'4'!$A$25:$AK$55,COLUMN('4'!AI$1),0)</f>
        <v>-0.83750000000000002</v>
      </c>
      <c r="N42" s="111">
        <f>VLOOKUP($B42,'4'!$A$25:$AK$55,COLUMN('4'!AJ$1),0)</f>
        <v>81.25</v>
      </c>
      <c r="O42" s="55">
        <f>VLOOKUP($B42,'4'!$A$25:$AK$55,COLUMN('4'!AK$1),0)</f>
        <v>1</v>
      </c>
      <c r="P42" s="65">
        <f>IFERROR(VLOOKUP($C42,Sheet5!$C:$K,COLUMN(Sheet5!D$2)-2,0),"")</f>
        <v>0.94405594405594395</v>
      </c>
      <c r="Q42" s="143">
        <f>IFERROR(VLOOKUP($C42,Sheet5!$C:$K,COLUMN(Sheet5!E$2)-2,0),"")</f>
        <v>0.29674796747967497</v>
      </c>
      <c r="R42" s="66">
        <f>IFERROR(VLOOKUP($C42,Sheet5!$C:$K,COLUMN(Sheet5!F$2)-2,0),"")</f>
        <v>0.86600496277915595</v>
      </c>
      <c r="S42" s="66">
        <f>IFERROR(VLOOKUP($C42,Sheet5!$C:$K,COLUMN(Sheet5!G$2)-2,0),"")</f>
        <v>0.86666666666666703</v>
      </c>
      <c r="T42" s="66">
        <f>IFERROR(VLOOKUP($C42,Sheet5!$C:$K,COLUMN(Sheet5!H$2)-2,0),"")</f>
        <v>0.30737704918032799</v>
      </c>
      <c r="U42" s="67">
        <f>IFERROR(VLOOKUP($C42,Sheet5!$C:$K,COLUMN(Sheet5!I$2)-2,0),"")</f>
        <v>0.73333333333333295</v>
      </c>
      <c r="V42" s="110">
        <v>306</v>
      </c>
      <c r="W42" s="111">
        <v>274</v>
      </c>
      <c r="X42" s="112">
        <f t="shared" si="0"/>
        <v>-32</v>
      </c>
    </row>
  </sheetData>
  <mergeCells count="8">
    <mergeCell ref="V2:X2"/>
    <mergeCell ref="K2:O2"/>
    <mergeCell ref="P2:U2"/>
    <mergeCell ref="B4:C4"/>
    <mergeCell ref="B2:B3"/>
    <mergeCell ref="E2:G2"/>
    <mergeCell ref="H2:J2"/>
    <mergeCell ref="C2:D2"/>
  </mergeCells>
  <phoneticPr fontId="19" type="noConversion"/>
  <conditionalFormatting sqref="H4:J42">
    <cfRule type="cellIs" dxfId="22" priority="7" operator="lessThan">
      <formula>0</formula>
    </cfRule>
  </conditionalFormatting>
  <conditionalFormatting sqref="M1:M1048576">
    <cfRule type="cellIs" dxfId="21" priority="3" operator="lessThan">
      <formula>0</formula>
    </cfRule>
  </conditionalFormatting>
  <conditionalFormatting sqref="X38:X42">
    <cfRule type="cellIs" dxfId="2" priority="1" operator="greaterThan">
      <formula>$Y$37</formula>
    </cfRule>
    <cfRule type="cellIs" dxfId="3" priority="2" operator="lessThan">
      <formula>0</formula>
    </cfRule>
  </conditionalFormatting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33"/>
  <sheetViews>
    <sheetView showGridLines="0" workbookViewId="0">
      <selection activeCell="B2" sqref="B2:X33"/>
    </sheetView>
  </sheetViews>
  <sheetFormatPr defaultRowHeight="16.5" outlineLevelCol="1" x14ac:dyDescent="0.2"/>
  <cols>
    <col min="1" max="1" width="9" style="9"/>
    <col min="2" max="2" width="5.625" style="9" customWidth="1"/>
    <col min="3" max="4" width="12.625" style="9" customWidth="1"/>
    <col min="5" max="7" width="0" style="9" hidden="1" customWidth="1" outlineLevel="1"/>
    <col min="8" max="8" width="9" style="9" collapsed="1"/>
    <col min="9" max="16384" width="9" style="9"/>
  </cols>
  <sheetData>
    <row r="2" spans="2:24" ht="14.25" customHeight="1" x14ac:dyDescent="0.2">
      <c r="B2" s="195" t="s">
        <v>175</v>
      </c>
      <c r="C2" s="193" t="s">
        <v>202</v>
      </c>
      <c r="D2" s="194"/>
      <c r="E2" s="186" t="s">
        <v>176</v>
      </c>
      <c r="F2" s="187"/>
      <c r="G2" s="188"/>
      <c r="H2" s="186" t="s">
        <v>177</v>
      </c>
      <c r="I2" s="187"/>
      <c r="J2" s="188"/>
      <c r="K2" s="186">
        <f>Sheet2!K2</f>
        <v>2505</v>
      </c>
      <c r="L2" s="187"/>
      <c r="M2" s="187"/>
      <c r="N2" s="187"/>
      <c r="O2" s="188"/>
      <c r="P2" s="186" t="s">
        <v>178</v>
      </c>
      <c r="Q2" s="187"/>
      <c r="R2" s="187"/>
      <c r="S2" s="187"/>
      <c r="T2" s="187"/>
      <c r="U2" s="188"/>
      <c r="V2" s="186" t="s">
        <v>225</v>
      </c>
      <c r="W2" s="187"/>
      <c r="X2" s="188"/>
    </row>
    <row r="3" spans="2:24" x14ac:dyDescent="0.2">
      <c r="B3" s="196"/>
      <c r="C3" s="20" t="s">
        <v>198</v>
      </c>
      <c r="D3" s="22" t="s">
        <v>199</v>
      </c>
      <c r="E3" s="20">
        <f>Sheet2!E3</f>
        <v>2502</v>
      </c>
      <c r="F3" s="21">
        <f>Sheet2!F3</f>
        <v>2503</v>
      </c>
      <c r="G3" s="22">
        <f>Sheet2!G3</f>
        <v>2504</v>
      </c>
      <c r="H3" s="20">
        <f>Sheet2!H3</f>
        <v>2502</v>
      </c>
      <c r="I3" s="21">
        <f>Sheet2!I3</f>
        <v>2503</v>
      </c>
      <c r="J3" s="22">
        <f>Sheet2!J3</f>
        <v>2504</v>
      </c>
      <c r="K3" s="20" t="s">
        <v>176</v>
      </c>
      <c r="L3" s="21" t="s">
        <v>179</v>
      </c>
      <c r="M3" s="21" t="s">
        <v>177</v>
      </c>
      <c r="N3" s="21" t="s">
        <v>180</v>
      </c>
      <c r="O3" s="22" t="s">
        <v>181</v>
      </c>
      <c r="P3" s="20" t="s">
        <v>194</v>
      </c>
      <c r="Q3" s="133" t="s">
        <v>37</v>
      </c>
      <c r="R3" s="21" t="s">
        <v>38</v>
      </c>
      <c r="S3" s="21" t="s">
        <v>39</v>
      </c>
      <c r="T3" s="21" t="s">
        <v>40</v>
      </c>
      <c r="U3" s="22" t="s">
        <v>41</v>
      </c>
      <c r="V3" s="20" t="s">
        <v>226</v>
      </c>
      <c r="W3" s="21" t="s">
        <v>227</v>
      </c>
      <c r="X3" s="22" t="s">
        <v>228</v>
      </c>
    </row>
    <row r="4" spans="2:24" ht="14.25" hidden="1" customHeight="1" x14ac:dyDescent="0.2">
      <c r="B4" s="189" t="s">
        <v>20</v>
      </c>
      <c r="C4" s="190"/>
      <c r="D4" s="150"/>
      <c r="E4" s="92">
        <f>基础表!E17</f>
        <v>5600</v>
      </c>
      <c r="F4" s="93">
        <f>基础表!F17</f>
        <v>5119</v>
      </c>
      <c r="G4" s="94">
        <f>基础表!G17</f>
        <v>4720</v>
      </c>
      <c r="H4" s="23">
        <f>基础表!H17</f>
        <v>9.9121706398996229E-2</v>
      </c>
      <c r="I4" s="24">
        <f>基础表!I17</f>
        <v>-0.14561855670103094</v>
      </c>
      <c r="J4" s="25">
        <f>基础表!J17</f>
        <v>-0.34285714285714275</v>
      </c>
      <c r="K4" s="92" t="e">
        <f>基础表!K17</f>
        <v>#REF!</v>
      </c>
      <c r="L4" s="93" t="e">
        <f>基础表!L17</f>
        <v>#REF!</v>
      </c>
      <c r="M4" s="24" t="e">
        <f>基础表!M17</f>
        <v>#REF!</v>
      </c>
      <c r="N4" s="93" t="e">
        <f>基础表!N17</f>
        <v>#REF!</v>
      </c>
      <c r="O4" s="25" t="e">
        <f>基础表!O17</f>
        <v>#REF!</v>
      </c>
      <c r="P4" s="23" t="e">
        <f>基础表!P17</f>
        <v>#REF!</v>
      </c>
      <c r="Q4" s="134" t="e">
        <f>基础表!Q17</f>
        <v>#REF!</v>
      </c>
      <c r="R4" s="24" t="e">
        <f>基础表!R17</f>
        <v>#REF!</v>
      </c>
      <c r="S4" s="24" t="e">
        <f>基础表!S17</f>
        <v>#REF!</v>
      </c>
      <c r="T4" s="24" t="e">
        <f>基础表!T17</f>
        <v>#REF!</v>
      </c>
      <c r="U4" s="25" t="e">
        <f>基础表!U17</f>
        <v>#REF!</v>
      </c>
    </row>
    <row r="5" spans="2:24" hidden="1" x14ac:dyDescent="0.2">
      <c r="B5" s="26">
        <v>1</v>
      </c>
      <c r="C5" s="27" t="e">
        <f>VLOOKUP($B5,基础表!$A$12:$U$16,COLUMN(基础表!D1),0)</f>
        <v>#N/A</v>
      </c>
      <c r="D5" s="151"/>
      <c r="E5" s="95" t="e">
        <f>VLOOKUP($B5,基础表!$A$12:$U$16,COLUMN(基础表!E1),0)</f>
        <v>#N/A</v>
      </c>
      <c r="F5" s="96" t="e">
        <f>VLOOKUP($B5,基础表!$A$12:$U$16,COLUMN(基础表!F1),0)</f>
        <v>#N/A</v>
      </c>
      <c r="G5" s="97" t="e">
        <f>VLOOKUP($B5,基础表!$A$12:$U$16,COLUMN(基础表!G1),0)</f>
        <v>#N/A</v>
      </c>
      <c r="H5" s="28" t="e">
        <f>VLOOKUP($B5,基础表!$A$12:$U$16,COLUMN(基础表!H1),0)</f>
        <v>#N/A</v>
      </c>
      <c r="I5" s="29" t="e">
        <f>VLOOKUP($B5,基础表!$A$12:$U$16,COLUMN(基础表!I1),0)</f>
        <v>#N/A</v>
      </c>
      <c r="J5" s="30" t="e">
        <f>VLOOKUP($B5,基础表!$A$12:$U$16,COLUMN(基础表!J1),0)</f>
        <v>#N/A</v>
      </c>
      <c r="K5" s="95" t="e">
        <f>VLOOKUP($B5,基础表!$A$12:$U$16,COLUMN(基础表!K1),0)</f>
        <v>#N/A</v>
      </c>
      <c r="L5" s="113" t="e">
        <f>VLOOKUP($B5,基础表!$A$12:$U$16,COLUMN(基础表!L1),0)</f>
        <v>#N/A</v>
      </c>
      <c r="M5" s="29" t="e">
        <f>VLOOKUP($B5,基础表!$A$12:$U$16,COLUMN(基础表!M1),0)</f>
        <v>#N/A</v>
      </c>
      <c r="N5" s="113" t="e">
        <f>VLOOKUP($B5,基础表!$A$12:$U$16,COLUMN(基础表!N1),0)</f>
        <v>#N/A</v>
      </c>
      <c r="O5" s="30" t="e">
        <f>VLOOKUP($B5,基础表!$A$12:$U$16,COLUMN(基础表!O1),0)</f>
        <v>#N/A</v>
      </c>
      <c r="P5" s="28" t="e">
        <f>VLOOKUP($B5,基础表!$A$12:$U$16,COLUMN(基础表!P1),0)</f>
        <v>#N/A</v>
      </c>
      <c r="Q5" s="135" t="e">
        <f>VLOOKUP($B5,基础表!$A$12:$U$16,COLUMN(基础表!Q1),0)</f>
        <v>#N/A</v>
      </c>
      <c r="R5" s="29" t="e">
        <f>VLOOKUP($B5,基础表!$A$12:$U$16,COLUMN(基础表!R1),0)</f>
        <v>#N/A</v>
      </c>
      <c r="S5" s="29" t="e">
        <f>VLOOKUP($B5,基础表!$A$12:$U$16,COLUMN(基础表!S1),0)</f>
        <v>#N/A</v>
      </c>
      <c r="T5" s="29" t="e">
        <f>VLOOKUP($B5,基础表!$A$12:$U$16,COLUMN(基础表!T1),0)</f>
        <v>#N/A</v>
      </c>
      <c r="U5" s="30" t="e">
        <f>VLOOKUP($B5,基础表!$A$12:$U$16,COLUMN(基础表!U1),0)</f>
        <v>#N/A</v>
      </c>
    </row>
    <row r="6" spans="2:24" hidden="1" x14ac:dyDescent="0.2">
      <c r="B6" s="31">
        <v>2</v>
      </c>
      <c r="C6" s="32" t="e">
        <f>VLOOKUP($B6,基础表!$A$12:$U$16,COLUMN(基础表!D2),0)</f>
        <v>#N/A</v>
      </c>
      <c r="D6" s="152"/>
      <c r="E6" s="98" t="e">
        <f>VLOOKUP($B6,基础表!$A$12:$U$16,COLUMN(基础表!E2),0)</f>
        <v>#N/A</v>
      </c>
      <c r="F6" s="99" t="e">
        <f>VLOOKUP($B6,基础表!$A$12:$U$16,COLUMN(基础表!F2),0)</f>
        <v>#N/A</v>
      </c>
      <c r="G6" s="100" t="e">
        <f>VLOOKUP($B6,基础表!$A$12:$U$16,COLUMN(基础表!G2),0)</f>
        <v>#N/A</v>
      </c>
      <c r="H6" s="33" t="e">
        <f>VLOOKUP($B6,基础表!$A$12:$U$16,COLUMN(基础表!H2),0)</f>
        <v>#N/A</v>
      </c>
      <c r="I6" s="34" t="e">
        <f>VLOOKUP($B6,基础表!$A$12:$U$16,COLUMN(基础表!I2),0)</f>
        <v>#N/A</v>
      </c>
      <c r="J6" s="35" t="e">
        <f>VLOOKUP($B6,基础表!$A$12:$U$16,COLUMN(基础表!J2),0)</f>
        <v>#N/A</v>
      </c>
      <c r="K6" s="98" t="e">
        <f>VLOOKUP($B6,基础表!$A$12:$U$16,COLUMN(基础表!K2),0)</f>
        <v>#N/A</v>
      </c>
      <c r="L6" s="114" t="e">
        <f>VLOOKUP($B6,基础表!$A$12:$U$16,COLUMN(基础表!L2),0)</f>
        <v>#N/A</v>
      </c>
      <c r="M6" s="34" t="e">
        <f>VLOOKUP($B6,基础表!$A$12:$U$16,COLUMN(基础表!M2),0)</f>
        <v>#N/A</v>
      </c>
      <c r="N6" s="114" t="e">
        <f>VLOOKUP($B6,基础表!$A$12:$U$16,COLUMN(基础表!N2),0)</f>
        <v>#N/A</v>
      </c>
      <c r="O6" s="35" t="e">
        <f>VLOOKUP($B6,基础表!$A$12:$U$16,COLUMN(基础表!O2),0)</f>
        <v>#N/A</v>
      </c>
      <c r="P6" s="33" t="e">
        <f>VLOOKUP($B6,基础表!$A$12:$U$16,COLUMN(基础表!P2),0)</f>
        <v>#N/A</v>
      </c>
      <c r="Q6" s="136" t="e">
        <f>VLOOKUP($B6,基础表!$A$12:$U$16,COLUMN(基础表!Q2),0)</f>
        <v>#N/A</v>
      </c>
      <c r="R6" s="34" t="e">
        <f>VLOOKUP($B6,基础表!$A$12:$U$16,COLUMN(基础表!R2),0)</f>
        <v>#N/A</v>
      </c>
      <c r="S6" s="34" t="e">
        <f>VLOOKUP($B6,基础表!$A$12:$U$16,COLUMN(基础表!S2),0)</f>
        <v>#N/A</v>
      </c>
      <c r="T6" s="34" t="e">
        <f>VLOOKUP($B6,基础表!$A$12:$U$16,COLUMN(基础表!T2),0)</f>
        <v>#N/A</v>
      </c>
      <c r="U6" s="35" t="e">
        <f>VLOOKUP($B6,基础表!$A$12:$U$16,COLUMN(基础表!U2),0)</f>
        <v>#N/A</v>
      </c>
    </row>
    <row r="7" spans="2:24" hidden="1" x14ac:dyDescent="0.2">
      <c r="B7" s="31">
        <v>3</v>
      </c>
      <c r="C7" s="32" t="e">
        <f>VLOOKUP($B7,基础表!$A$12:$U$16,COLUMN(基础表!D3),0)</f>
        <v>#N/A</v>
      </c>
      <c r="D7" s="152"/>
      <c r="E7" s="98" t="e">
        <f>VLOOKUP($B7,基础表!$A$12:$U$16,COLUMN(基础表!E3),0)</f>
        <v>#N/A</v>
      </c>
      <c r="F7" s="99" t="e">
        <f>VLOOKUP($B7,基础表!$A$12:$U$16,COLUMN(基础表!F3),0)</f>
        <v>#N/A</v>
      </c>
      <c r="G7" s="100" t="e">
        <f>VLOOKUP($B7,基础表!$A$12:$U$16,COLUMN(基础表!G3),0)</f>
        <v>#N/A</v>
      </c>
      <c r="H7" s="33" t="e">
        <f>VLOOKUP($B7,基础表!$A$12:$U$16,COLUMN(基础表!H3),0)</f>
        <v>#N/A</v>
      </c>
      <c r="I7" s="34" t="e">
        <f>VLOOKUP($B7,基础表!$A$12:$U$16,COLUMN(基础表!I3),0)</f>
        <v>#N/A</v>
      </c>
      <c r="J7" s="35" t="e">
        <f>VLOOKUP($B7,基础表!$A$12:$U$16,COLUMN(基础表!J3),0)</f>
        <v>#N/A</v>
      </c>
      <c r="K7" s="98" t="e">
        <f>VLOOKUP($B7,基础表!$A$12:$U$16,COLUMN(基础表!K3),0)</f>
        <v>#N/A</v>
      </c>
      <c r="L7" s="114" t="e">
        <f>VLOOKUP($B7,基础表!$A$12:$U$16,COLUMN(基础表!L3),0)</f>
        <v>#N/A</v>
      </c>
      <c r="M7" s="34" t="e">
        <f>VLOOKUP($B7,基础表!$A$12:$U$16,COLUMN(基础表!M3),0)</f>
        <v>#N/A</v>
      </c>
      <c r="N7" s="114" t="e">
        <f>VLOOKUP($B7,基础表!$A$12:$U$16,COLUMN(基础表!N3),0)</f>
        <v>#N/A</v>
      </c>
      <c r="O7" s="35" t="e">
        <f>VLOOKUP($B7,基础表!$A$12:$U$16,COLUMN(基础表!O3),0)</f>
        <v>#N/A</v>
      </c>
      <c r="P7" s="33" t="e">
        <f>VLOOKUP($B7,基础表!$A$12:$U$16,COLUMN(基础表!P3),0)</f>
        <v>#N/A</v>
      </c>
      <c r="Q7" s="136" t="e">
        <f>VLOOKUP($B7,基础表!$A$12:$U$16,COLUMN(基础表!Q3),0)</f>
        <v>#N/A</v>
      </c>
      <c r="R7" s="34" t="e">
        <f>VLOOKUP($B7,基础表!$A$12:$U$16,COLUMN(基础表!R3),0)</f>
        <v>#N/A</v>
      </c>
      <c r="S7" s="34" t="e">
        <f>VLOOKUP($B7,基础表!$A$12:$U$16,COLUMN(基础表!S3),0)</f>
        <v>#N/A</v>
      </c>
      <c r="T7" s="34" t="e">
        <f>VLOOKUP($B7,基础表!$A$12:$U$16,COLUMN(基础表!T3),0)</f>
        <v>#N/A</v>
      </c>
      <c r="U7" s="35" t="e">
        <f>VLOOKUP($B7,基础表!$A$12:$U$16,COLUMN(基础表!U3),0)</f>
        <v>#N/A</v>
      </c>
    </row>
    <row r="8" spans="2:24" hidden="1" x14ac:dyDescent="0.2">
      <c r="B8" s="31">
        <v>4</v>
      </c>
      <c r="C8" s="32" t="e">
        <f>VLOOKUP($B8,基础表!$A$12:$U$16,COLUMN(基础表!D4),0)</f>
        <v>#N/A</v>
      </c>
      <c r="D8" s="152"/>
      <c r="E8" s="98" t="e">
        <f>VLOOKUP($B8,基础表!$A$12:$U$16,COLUMN(基础表!E4),0)</f>
        <v>#N/A</v>
      </c>
      <c r="F8" s="99" t="e">
        <f>VLOOKUP($B8,基础表!$A$12:$U$16,COLUMN(基础表!F4),0)</f>
        <v>#N/A</v>
      </c>
      <c r="G8" s="100" t="e">
        <f>VLOOKUP($B8,基础表!$A$12:$U$16,COLUMN(基础表!G4),0)</f>
        <v>#N/A</v>
      </c>
      <c r="H8" s="33" t="e">
        <f>VLOOKUP($B8,基础表!$A$12:$U$16,COLUMN(基础表!H4),0)</f>
        <v>#N/A</v>
      </c>
      <c r="I8" s="34" t="e">
        <f>VLOOKUP($B8,基础表!$A$12:$U$16,COLUMN(基础表!I4),0)</f>
        <v>#N/A</v>
      </c>
      <c r="J8" s="35" t="e">
        <f>VLOOKUP($B8,基础表!$A$12:$U$16,COLUMN(基础表!J4),0)</f>
        <v>#N/A</v>
      </c>
      <c r="K8" s="98" t="e">
        <f>VLOOKUP($B8,基础表!$A$12:$U$16,COLUMN(基础表!K4),0)</f>
        <v>#N/A</v>
      </c>
      <c r="L8" s="114" t="e">
        <f>VLOOKUP($B8,基础表!$A$12:$U$16,COLUMN(基础表!L4),0)</f>
        <v>#N/A</v>
      </c>
      <c r="M8" s="34" t="e">
        <f>VLOOKUP($B8,基础表!$A$12:$U$16,COLUMN(基础表!M4),0)</f>
        <v>#N/A</v>
      </c>
      <c r="N8" s="114" t="e">
        <f>VLOOKUP($B8,基础表!$A$12:$U$16,COLUMN(基础表!N4),0)</f>
        <v>#N/A</v>
      </c>
      <c r="O8" s="35" t="e">
        <f>VLOOKUP($B8,基础表!$A$12:$U$16,COLUMN(基础表!O4),0)</f>
        <v>#N/A</v>
      </c>
      <c r="P8" s="33" t="e">
        <f>VLOOKUP($B8,基础表!$A$12:$U$16,COLUMN(基础表!P4),0)</f>
        <v>#N/A</v>
      </c>
      <c r="Q8" s="136" t="e">
        <f>VLOOKUP($B8,基础表!$A$12:$U$16,COLUMN(基础表!Q4),0)</f>
        <v>#N/A</v>
      </c>
      <c r="R8" s="34" t="e">
        <f>VLOOKUP($B8,基础表!$A$12:$U$16,COLUMN(基础表!R4),0)</f>
        <v>#N/A</v>
      </c>
      <c r="S8" s="34" t="e">
        <f>VLOOKUP($B8,基础表!$A$12:$U$16,COLUMN(基础表!S4),0)</f>
        <v>#N/A</v>
      </c>
      <c r="T8" s="34" t="e">
        <f>VLOOKUP($B8,基础表!$A$12:$U$16,COLUMN(基础表!T4),0)</f>
        <v>#N/A</v>
      </c>
      <c r="U8" s="35" t="e">
        <f>VLOOKUP($B8,基础表!$A$12:$U$16,COLUMN(基础表!U4),0)</f>
        <v>#N/A</v>
      </c>
    </row>
    <row r="9" spans="2:24" hidden="1" x14ac:dyDescent="0.2">
      <c r="B9" s="36">
        <v>5</v>
      </c>
      <c r="C9" s="37" t="e">
        <f>VLOOKUP($B9,基础表!$A$12:$U$16,COLUMN(基础表!D5),0)</f>
        <v>#N/A</v>
      </c>
      <c r="D9" s="153"/>
      <c r="E9" s="101" t="e">
        <f>VLOOKUP($B9,基础表!$A$12:$U$16,COLUMN(基础表!E5),0)</f>
        <v>#N/A</v>
      </c>
      <c r="F9" s="102" t="e">
        <f>VLOOKUP($B9,基础表!$A$12:$U$16,COLUMN(基础表!F5),0)</f>
        <v>#N/A</v>
      </c>
      <c r="G9" s="103" t="e">
        <f>VLOOKUP($B9,基础表!$A$12:$U$16,COLUMN(基础表!G5),0)</f>
        <v>#N/A</v>
      </c>
      <c r="H9" s="38" t="e">
        <f>VLOOKUP($B9,基础表!$A$12:$U$16,COLUMN(基础表!H5),0)</f>
        <v>#N/A</v>
      </c>
      <c r="I9" s="39" t="e">
        <f>VLOOKUP($B9,基础表!$A$12:$U$16,COLUMN(基础表!I5),0)</f>
        <v>#N/A</v>
      </c>
      <c r="J9" s="40" t="e">
        <f>VLOOKUP($B9,基础表!$A$12:$U$16,COLUMN(基础表!J5),0)</f>
        <v>#N/A</v>
      </c>
      <c r="K9" s="101" t="e">
        <f>VLOOKUP($B9,基础表!$A$12:$U$16,COLUMN(基础表!K5),0)</f>
        <v>#N/A</v>
      </c>
      <c r="L9" s="115" t="e">
        <f>VLOOKUP($B9,基础表!$A$12:$U$16,COLUMN(基础表!L5),0)</f>
        <v>#N/A</v>
      </c>
      <c r="M9" s="39" t="e">
        <f>VLOOKUP($B9,基础表!$A$12:$U$16,COLUMN(基础表!M5),0)</f>
        <v>#N/A</v>
      </c>
      <c r="N9" s="115" t="e">
        <f>VLOOKUP($B9,基础表!$A$12:$U$16,COLUMN(基础表!N5),0)</f>
        <v>#N/A</v>
      </c>
      <c r="O9" s="40" t="e">
        <f>VLOOKUP($B9,基础表!$A$12:$U$16,COLUMN(基础表!O5),0)</f>
        <v>#N/A</v>
      </c>
      <c r="P9" s="38" t="e">
        <f>VLOOKUP($B9,基础表!$A$12:$U$16,COLUMN(基础表!P5),0)</f>
        <v>#N/A</v>
      </c>
      <c r="Q9" s="137" t="e">
        <f>VLOOKUP($B9,基础表!$A$12:$U$16,COLUMN(基础表!Q5),0)</f>
        <v>#N/A</v>
      </c>
      <c r="R9" s="39" t="e">
        <f>VLOOKUP($B9,基础表!$A$12:$U$16,COLUMN(基础表!R5),0)</f>
        <v>#N/A</v>
      </c>
      <c r="S9" s="39" t="e">
        <f>VLOOKUP($B9,基础表!$A$12:$U$16,COLUMN(基础表!S5),0)</f>
        <v>#N/A</v>
      </c>
      <c r="T9" s="39" t="e">
        <f>VLOOKUP($B9,基础表!$A$12:$U$16,COLUMN(基础表!T5),0)</f>
        <v>#N/A</v>
      </c>
      <c r="U9" s="40" t="e">
        <f>VLOOKUP($B9,基础表!$A$12:$U$16,COLUMN(基础表!U5),0)</f>
        <v>#N/A</v>
      </c>
    </row>
    <row r="10" spans="2:24" hidden="1" x14ac:dyDescent="0.2">
      <c r="B10" s="41">
        <v>1</v>
      </c>
      <c r="C10" s="42" t="str">
        <f>VLOOKUP($B10,'4'!$A$56:$AK$79,COLUMN('4'!Z$1),0)</f>
        <v>西旗跃腾达</v>
      </c>
      <c r="D10" s="154" t="str">
        <f>VLOOKUP(C10,'4'!AL:AM,2,0)</f>
        <v>呼盟外埠所</v>
      </c>
      <c r="E10" s="104">
        <f>VLOOKUP($B10,'4'!$A$56:$AK$79,COLUMN('4'!AA$1),0)</f>
        <v>0</v>
      </c>
      <c r="F10" s="105">
        <f>VLOOKUP($B10,'4'!$A$56:$AK$79,COLUMN('4'!AB$1),0)</f>
        <v>64</v>
      </c>
      <c r="G10" s="106">
        <f>VLOOKUP($B10,'4'!$A$56:$AK$79,COLUMN('4'!AC$1),0)</f>
        <v>60</v>
      </c>
      <c r="H10" s="43" t="str">
        <f>VLOOKUP($B10,'4'!$A$56:$AK$79,COLUMN('4'!AD$1),0)</f>
        <v/>
      </c>
      <c r="I10" s="44">
        <f>VLOOKUP($B10,'4'!$A$56:$AK$79,COLUMN('4'!AE$1),0)</f>
        <v>0</v>
      </c>
      <c r="J10" s="45">
        <f>VLOOKUP($B10,'4'!$A$56:$AK$79,COLUMN('4'!AF$1),0)</f>
        <v>0.19999999999999996</v>
      </c>
      <c r="K10" s="104">
        <f>VLOOKUP($B10,'4'!$A$56:$AK$79,COLUMN('4'!AG$1),0)</f>
        <v>125</v>
      </c>
      <c r="L10" s="105">
        <f>VLOOKUP($B10,'4'!$A$56:$AK$79,COLUMN('4'!AH$1),0)</f>
        <v>50</v>
      </c>
      <c r="M10" s="44">
        <f>VLOOKUP($B10,'4'!$A$56:$AK$79,COLUMN('4'!AI$1),0)</f>
        <v>1.5</v>
      </c>
      <c r="N10" s="105">
        <f>VLOOKUP($B10,'4'!$A$56:$AK$79,COLUMN('4'!AJ$1),0)</f>
        <v>125</v>
      </c>
      <c r="O10" s="45">
        <f>VLOOKUP($B10,'4'!$A$56:$AK$79,COLUMN('4'!AK$1),0)</f>
        <v>1</v>
      </c>
      <c r="P10" s="82">
        <f>IFERROR(VLOOKUP($C10,Sheet5!$C:$K,COLUMN(Sheet5!D$2)-2,0),"")</f>
        <v>0.66666666666666696</v>
      </c>
      <c r="Q10" s="144">
        <f>IFERROR(VLOOKUP($C10,Sheet5!$C:$K,COLUMN(Sheet5!E$2)-2,0),"")</f>
        <v>0.47368421052631599</v>
      </c>
      <c r="R10" s="76">
        <f>IFERROR(VLOOKUP($C10,Sheet5!$C:$K,COLUMN(Sheet5!F$2)-2,0),"")</f>
        <v>0.57499999999999996</v>
      </c>
      <c r="S10" s="76">
        <f>IFERROR(VLOOKUP($C10,Sheet5!$C:$K,COLUMN(Sheet5!G$2)-2,0),"")</f>
        <v>0</v>
      </c>
      <c r="T10" s="76">
        <f>IFERROR(VLOOKUP($C10,Sheet5!$C:$K,COLUMN(Sheet5!H$2)-2,0),"")</f>
        <v>0.52631578947368407</v>
      </c>
      <c r="U10" s="77">
        <f>IFERROR(VLOOKUP($C10,Sheet5!$C:$K,COLUMN(Sheet5!I$2)-2,0),"")</f>
        <v>0</v>
      </c>
    </row>
    <row r="11" spans="2:24" hidden="1" x14ac:dyDescent="0.2">
      <c r="B11" s="46">
        <v>2</v>
      </c>
      <c r="C11" s="47" t="str">
        <f>VLOOKUP($B11,'4'!$A$56:$AK$79,COLUMN('4'!Z$1),0)</f>
        <v>讷河鑫众杰</v>
      </c>
      <c r="D11" s="155" t="str">
        <f>VLOOKUP(C11,'4'!AL:AM,2,0)</f>
        <v>兴安外埠所</v>
      </c>
      <c r="E11" s="107">
        <f>VLOOKUP($B11,'4'!$A$56:$AK$79,COLUMN('4'!AA$1),0)</f>
        <v>216</v>
      </c>
      <c r="F11" s="108">
        <f>VLOOKUP($B11,'4'!$A$56:$AK$79,COLUMN('4'!AB$1),0)</f>
        <v>458</v>
      </c>
      <c r="G11" s="109">
        <f>VLOOKUP($B11,'4'!$A$56:$AK$79,COLUMN('4'!AC$1),0)</f>
        <v>340</v>
      </c>
      <c r="H11" s="48">
        <f>VLOOKUP($B11,'4'!$A$56:$AK$79,COLUMN('4'!AD$1),0)</f>
        <v>-8.8607594936708778E-2</v>
      </c>
      <c r="I11" s="49">
        <f>VLOOKUP($B11,'4'!$A$56:$AK$79,COLUMN('4'!AE$1),0)</f>
        <v>0</v>
      </c>
      <c r="J11" s="50">
        <f>VLOOKUP($B11,'4'!$A$56:$AK$79,COLUMN('4'!AF$1),0)</f>
        <v>-4.2253521126760396E-2</v>
      </c>
      <c r="K11" s="107">
        <f>VLOOKUP($B11,'4'!$A$56:$AK$79,COLUMN('4'!AG$1),0)</f>
        <v>728.75</v>
      </c>
      <c r="L11" s="108">
        <f>VLOOKUP($B11,'4'!$A$56:$AK$79,COLUMN('4'!AH$1),0)</f>
        <v>470</v>
      </c>
      <c r="M11" s="49">
        <f>VLOOKUP($B11,'4'!$A$56:$AK$79,COLUMN('4'!AI$1),0)</f>
        <v>0.55053191489361697</v>
      </c>
      <c r="N11" s="108">
        <f>VLOOKUP($B11,'4'!$A$56:$AK$79,COLUMN('4'!AJ$1),0)</f>
        <v>728.75</v>
      </c>
      <c r="O11" s="50">
        <f>VLOOKUP($B11,'4'!$A$56:$AK$79,COLUMN('4'!AK$1),0)</f>
        <v>1</v>
      </c>
      <c r="P11" s="79">
        <f>IFERROR(VLOOKUP($C11,Sheet5!$C:$K,COLUMN(Sheet5!D$2)-2,0),"")</f>
        <v>0.936708860759494</v>
      </c>
      <c r="Q11" s="145">
        <f>IFERROR(VLOOKUP($C11,Sheet5!$C:$K,COLUMN(Sheet5!E$2)-2,0),"")</f>
        <v>0.32312925170067996</v>
      </c>
      <c r="R11" s="74">
        <f>IFERROR(VLOOKUP($C11,Sheet5!$C:$K,COLUMN(Sheet5!F$2)-2,0),"")</f>
        <v>0.35777777777777797</v>
      </c>
      <c r="S11" s="74">
        <f>IFERROR(VLOOKUP($C11,Sheet5!$C:$K,COLUMN(Sheet5!G$2)-2,0),"")</f>
        <v>0.38461538461538503</v>
      </c>
      <c r="T11" s="74">
        <f>IFERROR(VLOOKUP($C11,Sheet5!$C:$K,COLUMN(Sheet5!H$2)-2,0),"")</f>
        <v>0.469387755102041</v>
      </c>
      <c r="U11" s="78">
        <f>IFERROR(VLOOKUP($C11,Sheet5!$C:$K,COLUMN(Sheet5!I$2)-2,0),"")</f>
        <v>0.38461538461538503</v>
      </c>
    </row>
    <row r="12" spans="2:24" hidden="1" x14ac:dyDescent="0.2">
      <c r="B12" s="46">
        <v>3</v>
      </c>
      <c r="C12" s="47" t="str">
        <f>VLOOKUP($B12,'4'!$A$56:$AK$79,COLUMN('4'!Z$1),0)</f>
        <v>阿荣浩睿</v>
      </c>
      <c r="D12" s="155" t="str">
        <f>VLOOKUP(C12,'4'!AL:AM,2,0)</f>
        <v>呼盟外埠所</v>
      </c>
      <c r="E12" s="107">
        <f>VLOOKUP($B12,'4'!$A$56:$AK$79,COLUMN('4'!AA$1),0)</f>
        <v>275</v>
      </c>
      <c r="F12" s="108">
        <f>VLOOKUP($B12,'4'!$A$56:$AK$79,COLUMN('4'!AB$1),0)</f>
        <v>547</v>
      </c>
      <c r="G12" s="109">
        <f>VLOOKUP($B12,'4'!$A$56:$AK$79,COLUMN('4'!AC$1),0)</f>
        <v>394</v>
      </c>
      <c r="H12" s="48">
        <f>VLOOKUP($B12,'4'!$A$56:$AK$79,COLUMN('4'!AD$1),0)</f>
        <v>-8.6378737541528139E-2</v>
      </c>
      <c r="I12" s="49">
        <f>VLOOKUP($B12,'4'!$A$56:$AK$79,COLUMN('4'!AE$1),0)</f>
        <v>7.0450097847358117E-2</v>
      </c>
      <c r="J12" s="50">
        <f>VLOOKUP($B12,'4'!$A$56:$AK$79,COLUMN('4'!AF$1),0)</f>
        <v>-0.10045662100456609</v>
      </c>
      <c r="K12" s="107">
        <f>VLOOKUP($B12,'4'!$A$56:$AK$79,COLUMN('4'!AG$1),0)</f>
        <v>800</v>
      </c>
      <c r="L12" s="108">
        <f>VLOOKUP($B12,'4'!$A$56:$AK$79,COLUMN('4'!AH$1),0)</f>
        <v>614</v>
      </c>
      <c r="M12" s="49">
        <f>VLOOKUP($B12,'4'!$A$56:$AK$79,COLUMN('4'!AI$1),0)</f>
        <v>0.30293159609120512</v>
      </c>
      <c r="N12" s="108">
        <f>VLOOKUP($B12,'4'!$A$56:$AK$79,COLUMN('4'!AJ$1),0)</f>
        <v>800</v>
      </c>
      <c r="O12" s="50">
        <f>VLOOKUP($B12,'4'!$A$56:$AK$79,COLUMN('4'!AK$1),0)</f>
        <v>1</v>
      </c>
      <c r="P12" s="79">
        <f>IFERROR(VLOOKUP($C12,Sheet5!$C:$K,COLUMN(Sheet5!D$2)-2,0),"")</f>
        <v>0.89542483660130701</v>
      </c>
      <c r="Q12" s="145">
        <f>IFERROR(VLOOKUP($C12,Sheet5!$C:$K,COLUMN(Sheet5!E$2)-2,0),"")</f>
        <v>0.35416666666666702</v>
      </c>
      <c r="R12" s="74">
        <f>IFERROR(VLOOKUP($C12,Sheet5!$C:$K,COLUMN(Sheet5!F$2)-2,0),"")</f>
        <v>0.46036585365853705</v>
      </c>
      <c r="S12" s="74">
        <f>IFERROR(VLOOKUP($C12,Sheet5!$C:$K,COLUMN(Sheet5!G$2)-2,0),"")</f>
        <v>0.77272727272727293</v>
      </c>
      <c r="T12" s="74">
        <f>IFERROR(VLOOKUP($C12,Sheet5!$C:$K,COLUMN(Sheet5!H$2)-2,0),"")</f>
        <v>0.50347222222222199</v>
      </c>
      <c r="U12" s="78">
        <f>IFERROR(VLOOKUP($C12,Sheet5!$C:$K,COLUMN(Sheet5!I$2)-2,0),"")</f>
        <v>0.72727272727272707</v>
      </c>
    </row>
    <row r="13" spans="2:24" hidden="1" x14ac:dyDescent="0.2">
      <c r="B13" s="46">
        <v>4</v>
      </c>
      <c r="C13" s="47" t="str">
        <f>VLOOKUP($B13,'4'!$A$56:$AK$79,COLUMN('4'!Z$1),0)</f>
        <v>莫旗尚诚</v>
      </c>
      <c r="D13" s="155" t="str">
        <f>VLOOKUP(C13,'4'!AL:AM,2,0)</f>
        <v>兴安外埠所</v>
      </c>
      <c r="E13" s="107">
        <f>VLOOKUP($B13,'4'!$A$56:$AK$79,COLUMN('4'!AA$1),0)</f>
        <v>255</v>
      </c>
      <c r="F13" s="108">
        <f>VLOOKUP($B13,'4'!$A$56:$AK$79,COLUMN('4'!AB$1),0)</f>
        <v>523</v>
      </c>
      <c r="G13" s="109">
        <f>VLOOKUP($B13,'4'!$A$56:$AK$79,COLUMN('4'!AC$1),0)</f>
        <v>383</v>
      </c>
      <c r="H13" s="48">
        <f>VLOOKUP($B13,'4'!$A$56:$AK$79,COLUMN('4'!AD$1),0)</f>
        <v>-0.24107142857142849</v>
      </c>
      <c r="I13" s="49">
        <f>VLOOKUP($B13,'4'!$A$56:$AK$79,COLUMN('4'!AE$1),0)</f>
        <v>1.9157088122605526E-3</v>
      </c>
      <c r="J13" s="50">
        <f>VLOOKUP($B13,'4'!$A$56:$AK$79,COLUMN('4'!AF$1),0)</f>
        <v>-0.18683651804670909</v>
      </c>
      <c r="K13" s="107">
        <f>VLOOKUP($B13,'4'!$A$56:$AK$79,COLUMN('4'!AG$1),0)</f>
        <v>795</v>
      </c>
      <c r="L13" s="108">
        <f>VLOOKUP($B13,'4'!$A$56:$AK$79,COLUMN('4'!AH$1),0)</f>
        <v>626</v>
      </c>
      <c r="M13" s="49">
        <f>VLOOKUP($B13,'4'!$A$56:$AK$79,COLUMN('4'!AI$1),0)</f>
        <v>0.26996805111821076</v>
      </c>
      <c r="N13" s="108">
        <f>VLOOKUP($B13,'4'!$A$56:$AK$79,COLUMN('4'!AJ$1),0)</f>
        <v>795</v>
      </c>
      <c r="O13" s="50">
        <f>VLOOKUP($B13,'4'!$A$56:$AK$79,COLUMN('4'!AK$1),0)</f>
        <v>1</v>
      </c>
      <c r="P13" s="79">
        <f>IFERROR(VLOOKUP($C13,Sheet5!$C:$K,COLUMN(Sheet5!D$2)-2,0),"")</f>
        <v>1</v>
      </c>
      <c r="Q13" s="145">
        <f>IFERROR(VLOOKUP($C13,Sheet5!$C:$K,COLUMN(Sheet5!E$2)-2,0),"")</f>
        <v>0.88931297709923696</v>
      </c>
      <c r="R13" s="74">
        <f>IFERROR(VLOOKUP($C13,Sheet5!$C:$K,COLUMN(Sheet5!F$2)-2,0),"")</f>
        <v>0.83499999999999996</v>
      </c>
      <c r="S13" s="74">
        <f>IFERROR(VLOOKUP($C13,Sheet5!$C:$K,COLUMN(Sheet5!G$2)-2,0),"")</f>
        <v>0.94444444444444398</v>
      </c>
      <c r="T13" s="74">
        <f>IFERROR(VLOOKUP($C13,Sheet5!$C:$K,COLUMN(Sheet5!H$2)-2,0),"")</f>
        <v>0.87022900763358801</v>
      </c>
      <c r="U13" s="78">
        <f>IFERROR(VLOOKUP($C13,Sheet5!$C:$K,COLUMN(Sheet5!I$2)-2,0),"")</f>
        <v>0.97222222222222199</v>
      </c>
    </row>
    <row r="14" spans="2:24" hidden="1" x14ac:dyDescent="0.2">
      <c r="B14" s="46">
        <v>5</v>
      </c>
      <c r="C14" s="47" t="str">
        <f>VLOOKUP($B14,'4'!$A$56:$AK$79,COLUMN('4'!Z$1),0)</f>
        <v>富区晶辉</v>
      </c>
      <c r="D14" s="155" t="str">
        <f>VLOOKUP(C14,'4'!AL:AM,2,0)</f>
        <v>龙江外埠所</v>
      </c>
      <c r="E14" s="107">
        <f>VLOOKUP($B14,'4'!$A$56:$AK$79,COLUMN('4'!AA$1),0)</f>
        <v>324</v>
      </c>
      <c r="F14" s="108">
        <f>VLOOKUP($B14,'4'!$A$56:$AK$79,COLUMN('4'!AB$1),0)</f>
        <v>480</v>
      </c>
      <c r="G14" s="109">
        <f>VLOOKUP($B14,'4'!$A$56:$AK$79,COLUMN('4'!AC$1),0)</f>
        <v>435</v>
      </c>
      <c r="H14" s="48">
        <f>VLOOKUP($B14,'4'!$A$56:$AK$79,COLUMN('4'!AD$1),0)</f>
        <v>0.12110726643598624</v>
      </c>
      <c r="I14" s="49">
        <f>VLOOKUP($B14,'4'!$A$56:$AK$79,COLUMN('4'!AE$1),0)</f>
        <v>2.0876826722338038E-3</v>
      </c>
      <c r="J14" s="50">
        <f>VLOOKUP($B14,'4'!$A$56:$AK$79,COLUMN('4'!AF$1),0)</f>
        <v>-0.14872798434442269</v>
      </c>
      <c r="K14" s="107">
        <f>VLOOKUP($B14,'4'!$A$56:$AK$79,COLUMN('4'!AG$1),0)</f>
        <v>660</v>
      </c>
      <c r="L14" s="108">
        <f>VLOOKUP($B14,'4'!$A$56:$AK$79,COLUMN('4'!AH$1),0)</f>
        <v>559</v>
      </c>
      <c r="M14" s="49">
        <f>VLOOKUP($B14,'4'!$A$56:$AK$79,COLUMN('4'!AI$1),0)</f>
        <v>0.18067978533094808</v>
      </c>
      <c r="N14" s="108">
        <f>VLOOKUP($B14,'4'!$A$56:$AK$79,COLUMN('4'!AJ$1),0)</f>
        <v>660</v>
      </c>
      <c r="O14" s="50">
        <f>VLOOKUP($B14,'4'!$A$56:$AK$79,COLUMN('4'!AK$1),0)</f>
        <v>1</v>
      </c>
      <c r="P14" s="79">
        <f>IFERROR(VLOOKUP($C14,Sheet5!$C:$K,COLUMN(Sheet5!D$2)-2,0),"")</f>
        <v>0.99397590361445798</v>
      </c>
      <c r="Q14" s="145">
        <f>IFERROR(VLOOKUP($C14,Sheet5!$C:$K,COLUMN(Sheet5!E$2)-2,0),"")</f>
        <v>0.89078498293515396</v>
      </c>
      <c r="R14" s="74">
        <f>IFERROR(VLOOKUP($C14,Sheet5!$C:$K,COLUMN(Sheet5!F$2)-2,0),"")</f>
        <v>0.93398533007335005</v>
      </c>
      <c r="S14" s="74">
        <f>IFERROR(VLOOKUP($C14,Sheet5!$C:$K,COLUMN(Sheet5!G$2)-2,0),"")</f>
        <v>0.88571428571428601</v>
      </c>
      <c r="T14" s="74">
        <f>IFERROR(VLOOKUP($C14,Sheet5!$C:$K,COLUMN(Sheet5!H$2)-2,0),"")</f>
        <v>0.87713310580204806</v>
      </c>
      <c r="U14" s="78">
        <f>IFERROR(VLOOKUP($C14,Sheet5!$C:$K,COLUMN(Sheet5!I$2)-2,0),"")</f>
        <v>0.94285714285714306</v>
      </c>
    </row>
    <row r="15" spans="2:24" hidden="1" x14ac:dyDescent="0.2">
      <c r="B15" s="46">
        <v>6</v>
      </c>
      <c r="C15" s="47" t="str">
        <f>VLOOKUP($B15,'4'!$A$56:$AK$79,COLUMN('4'!Z$1),0)</f>
        <v>牙克丰远</v>
      </c>
      <c r="D15" s="155" t="str">
        <f>VLOOKUP(C15,'4'!AL:AM,2,0)</f>
        <v>呼盟外埠所</v>
      </c>
      <c r="E15" s="107">
        <f>VLOOKUP($B15,'4'!$A$56:$AK$79,COLUMN('4'!AA$1),0)</f>
        <v>203</v>
      </c>
      <c r="F15" s="108">
        <f>VLOOKUP($B15,'4'!$A$56:$AK$79,COLUMN('4'!AB$1),0)</f>
        <v>429</v>
      </c>
      <c r="G15" s="109">
        <f>VLOOKUP($B15,'4'!$A$56:$AK$79,COLUMN('4'!AC$1),0)</f>
        <v>285</v>
      </c>
      <c r="H15" s="48">
        <f>VLOOKUP($B15,'4'!$A$56:$AK$79,COLUMN('4'!AD$1),0)</f>
        <v>-0.19762845849802368</v>
      </c>
      <c r="I15" s="49">
        <f>VLOOKUP($B15,'4'!$A$56:$AK$79,COLUMN('4'!AE$1),0)</f>
        <v>2.3364485981307581E-3</v>
      </c>
      <c r="J15" s="50">
        <f>VLOOKUP($B15,'4'!$A$56:$AK$79,COLUMN('4'!AF$1),0)</f>
        <v>-0.29629629629629639</v>
      </c>
      <c r="K15" s="107">
        <f>VLOOKUP($B15,'4'!$A$56:$AK$79,COLUMN('4'!AG$1),0)</f>
        <v>592.5</v>
      </c>
      <c r="L15" s="108">
        <f>VLOOKUP($B15,'4'!$A$56:$AK$79,COLUMN('4'!AH$1),0)</f>
        <v>512</v>
      </c>
      <c r="M15" s="49">
        <f>VLOOKUP($B15,'4'!$A$56:$AK$79,COLUMN('4'!AI$1),0)</f>
        <v>0.1572265625</v>
      </c>
      <c r="N15" s="108">
        <f>VLOOKUP($B15,'4'!$A$56:$AK$79,COLUMN('4'!AJ$1),0)</f>
        <v>592.5</v>
      </c>
      <c r="O15" s="50">
        <f>VLOOKUP($B15,'4'!$A$56:$AK$79,COLUMN('4'!AK$1),0)</f>
        <v>1</v>
      </c>
      <c r="P15" s="79">
        <f>IFERROR(VLOOKUP($C15,Sheet5!$C:$K,COLUMN(Sheet5!D$2)-2,0),"")</f>
        <v>0.64795918367346905</v>
      </c>
      <c r="Q15" s="145">
        <f>IFERROR(VLOOKUP($C15,Sheet5!$C:$K,COLUMN(Sheet5!E$2)-2,0),"")</f>
        <v>0.19221967963386699</v>
      </c>
      <c r="R15" s="74">
        <f>IFERROR(VLOOKUP($C15,Sheet5!$C:$K,COLUMN(Sheet5!F$2)-2,0),"")</f>
        <v>0.17848970251716201</v>
      </c>
      <c r="S15" s="74">
        <f>IFERROR(VLOOKUP($C15,Sheet5!$C:$K,COLUMN(Sheet5!G$2)-2,0),"")</f>
        <v>0.57692307692307698</v>
      </c>
      <c r="T15" s="74">
        <f>IFERROR(VLOOKUP($C15,Sheet5!$C:$K,COLUMN(Sheet5!H$2)-2,0),"")</f>
        <v>0.273563218390805</v>
      </c>
      <c r="U15" s="78">
        <f>IFERROR(VLOOKUP($C15,Sheet5!$C:$K,COLUMN(Sheet5!I$2)-2,0),"")</f>
        <v>0.20833333333333301</v>
      </c>
    </row>
    <row r="16" spans="2:24" hidden="1" x14ac:dyDescent="0.2">
      <c r="B16" s="46">
        <v>7</v>
      </c>
      <c r="C16" s="47" t="str">
        <f>VLOOKUP($B16,'4'!$A$56:$AK$79,COLUMN('4'!Z$1),0)</f>
        <v>齐市昌庆</v>
      </c>
      <c r="D16" s="155" t="str">
        <f>VLOOKUP(C16,'4'!AL:AM,2,0)</f>
        <v>齐齐哈尔城区所</v>
      </c>
      <c r="E16" s="107">
        <f>VLOOKUP($B16,'4'!$A$56:$AK$79,COLUMN('4'!AA$1),0)</f>
        <v>150</v>
      </c>
      <c r="F16" s="108">
        <f>VLOOKUP($B16,'4'!$A$56:$AK$79,COLUMN('4'!AB$1),0)</f>
        <v>388</v>
      </c>
      <c r="G16" s="109">
        <f>VLOOKUP($B16,'4'!$A$56:$AK$79,COLUMN('4'!AC$1),0)</f>
        <v>328</v>
      </c>
      <c r="H16" s="48">
        <f>VLOOKUP($B16,'4'!$A$56:$AK$79,COLUMN('4'!AD$1),0)</f>
        <v>-0.49152542372881358</v>
      </c>
      <c r="I16" s="49">
        <f>VLOOKUP($B16,'4'!$A$56:$AK$79,COLUMN('4'!AE$1),0)</f>
        <v>-0.25954198473282442</v>
      </c>
      <c r="J16" s="50">
        <f>VLOOKUP($B16,'4'!$A$56:$AK$79,COLUMN('4'!AF$1),0)</f>
        <v>0.91812865497076013</v>
      </c>
      <c r="K16" s="107">
        <f>VLOOKUP($B16,'4'!$A$56:$AK$79,COLUMN('4'!AG$1),0)</f>
        <v>492.5</v>
      </c>
      <c r="L16" s="108">
        <f>VLOOKUP($B16,'4'!$A$56:$AK$79,COLUMN('4'!AH$1),0)</f>
        <v>464</v>
      </c>
      <c r="M16" s="49">
        <f>VLOOKUP($B16,'4'!$A$56:$AK$79,COLUMN('4'!AI$1),0)</f>
        <v>6.1422413793103425E-2</v>
      </c>
      <c r="N16" s="108">
        <f>VLOOKUP($B16,'4'!$A$56:$AK$79,COLUMN('4'!AJ$1),0)</f>
        <v>492.5</v>
      </c>
      <c r="O16" s="50">
        <f>VLOOKUP($B16,'4'!$A$56:$AK$79,COLUMN('4'!AK$1),0)</f>
        <v>1</v>
      </c>
      <c r="P16" s="79">
        <f>IFERROR(VLOOKUP($C16,Sheet5!$C:$K,COLUMN(Sheet5!D$2)-2,0),"")</f>
        <v>0.93823529411764695</v>
      </c>
      <c r="Q16" s="145">
        <f>IFERROR(VLOOKUP($C16,Sheet5!$C:$K,COLUMN(Sheet5!E$2)-2,0),"")</f>
        <v>0.29386892177589902</v>
      </c>
      <c r="R16" s="74">
        <f>IFERROR(VLOOKUP($C16,Sheet5!$C:$K,COLUMN(Sheet5!F$2)-2,0),"")</f>
        <v>0.24629080118694399</v>
      </c>
      <c r="S16" s="74">
        <f>IFERROR(VLOOKUP($C16,Sheet5!$C:$K,COLUMN(Sheet5!G$2)-2,0),"")</f>
        <v>0.441176470588235</v>
      </c>
      <c r="T16" s="74">
        <f>IFERROR(VLOOKUP($C16,Sheet5!$C:$K,COLUMN(Sheet5!H$2)-2,0),"")</f>
        <v>0.33333333333333298</v>
      </c>
      <c r="U16" s="78">
        <f>IFERROR(VLOOKUP($C16,Sheet5!$C:$K,COLUMN(Sheet5!I$2)-2,0),"")</f>
        <v>0.58947368421052604</v>
      </c>
    </row>
    <row r="17" spans="2:24" hidden="1" x14ac:dyDescent="0.2">
      <c r="B17" s="46">
        <v>8</v>
      </c>
      <c r="C17" s="47" t="str">
        <f>VLOOKUP($B17,'4'!$A$56:$AK$79,COLUMN('4'!Z$1),0)</f>
        <v>龙江文英</v>
      </c>
      <c r="D17" s="155" t="str">
        <f>VLOOKUP(C17,'4'!AL:AM,2,0)</f>
        <v>龙江外埠所</v>
      </c>
      <c r="E17" s="107">
        <f>VLOOKUP($B17,'4'!$A$56:$AK$79,COLUMN('4'!AA$1),0)</f>
        <v>421</v>
      </c>
      <c r="F17" s="108">
        <f>VLOOKUP($B17,'4'!$A$56:$AK$79,COLUMN('4'!AB$1),0)</f>
        <v>817</v>
      </c>
      <c r="G17" s="109">
        <f>VLOOKUP($B17,'4'!$A$56:$AK$79,COLUMN('4'!AC$1),0)</f>
        <v>527</v>
      </c>
      <c r="H17" s="48">
        <f>VLOOKUP($B17,'4'!$A$56:$AK$79,COLUMN('4'!AD$1),0)</f>
        <v>0</v>
      </c>
      <c r="I17" s="49">
        <f>VLOOKUP($B17,'4'!$A$56:$AK$79,COLUMN('4'!AE$1),0)</f>
        <v>1.225490196078427E-3</v>
      </c>
      <c r="J17" s="50">
        <f>VLOOKUP($B17,'4'!$A$56:$AK$79,COLUMN('4'!AF$1),0)</f>
        <v>-0.20512820512820518</v>
      </c>
      <c r="K17" s="107">
        <f>VLOOKUP($B17,'4'!$A$56:$AK$79,COLUMN('4'!AG$1),0)</f>
        <v>802.5</v>
      </c>
      <c r="L17" s="108">
        <f>VLOOKUP($B17,'4'!$A$56:$AK$79,COLUMN('4'!AH$1),0)</f>
        <v>853</v>
      </c>
      <c r="M17" s="49">
        <f>VLOOKUP($B17,'4'!$A$56:$AK$79,COLUMN('4'!AI$1),0)</f>
        <v>-5.9202813599062099E-2</v>
      </c>
      <c r="N17" s="108">
        <f>VLOOKUP($B17,'4'!$A$56:$AK$79,COLUMN('4'!AJ$1),0)</f>
        <v>802.5</v>
      </c>
      <c r="O17" s="50">
        <f>VLOOKUP($B17,'4'!$A$56:$AK$79,COLUMN('4'!AK$1),0)</f>
        <v>1</v>
      </c>
      <c r="P17" s="79">
        <f>IFERROR(VLOOKUP($C17,Sheet5!$C:$K,COLUMN(Sheet5!D$2)-2,0),"")</f>
        <v>0.987341772151899</v>
      </c>
      <c r="Q17" s="145">
        <f>IFERROR(VLOOKUP($C17,Sheet5!$C:$K,COLUMN(Sheet5!E$2)-2,0),"")</f>
        <v>0.25190839694656497</v>
      </c>
      <c r="R17" s="74">
        <f>IFERROR(VLOOKUP($C17,Sheet5!$C:$K,COLUMN(Sheet5!F$2)-2,0),"")</f>
        <v>0.33268858800773699</v>
      </c>
      <c r="S17" s="74">
        <f>IFERROR(VLOOKUP($C17,Sheet5!$C:$K,COLUMN(Sheet5!G$2)-2,0),"")</f>
        <v>0.48148148148148101</v>
      </c>
      <c r="T17" s="74">
        <f>IFERROR(VLOOKUP($C17,Sheet5!$C:$K,COLUMN(Sheet5!H$2)-2,0),"")</f>
        <v>0.36386768447837098</v>
      </c>
      <c r="U17" s="78">
        <f>IFERROR(VLOOKUP($C17,Sheet5!$C:$K,COLUMN(Sheet5!I$2)-2,0),"")</f>
        <v>0.33750000000000002</v>
      </c>
    </row>
    <row r="18" spans="2:24" hidden="1" x14ac:dyDescent="0.2">
      <c r="B18" s="46">
        <v>9</v>
      </c>
      <c r="C18" s="47" t="str">
        <f>VLOOKUP($B18,'4'!$A$56:$AK$79,COLUMN('4'!Z$1),0)</f>
        <v>泰来丰海</v>
      </c>
      <c r="D18" s="155" t="str">
        <f>VLOOKUP(C18,'4'!AL:AM,2,0)</f>
        <v>龙江外埠所</v>
      </c>
      <c r="E18" s="107">
        <f>VLOOKUP($B18,'4'!$A$56:$AK$79,COLUMN('4'!AA$1),0)</f>
        <v>212</v>
      </c>
      <c r="F18" s="108">
        <f>VLOOKUP($B18,'4'!$A$56:$AK$79,COLUMN('4'!AB$1),0)</f>
        <v>482</v>
      </c>
      <c r="G18" s="109">
        <f>VLOOKUP($B18,'4'!$A$56:$AK$79,COLUMN('4'!AC$1),0)</f>
        <v>346</v>
      </c>
      <c r="H18" s="48">
        <f>VLOOKUP($B18,'4'!$A$56:$AK$79,COLUMN('4'!AD$1),0)</f>
        <v>-0.13469387755102047</v>
      </c>
      <c r="I18" s="49">
        <f>VLOOKUP($B18,'4'!$A$56:$AK$79,COLUMN('4'!AE$1),0)</f>
        <v>0.33518005540166196</v>
      </c>
      <c r="J18" s="50">
        <f>VLOOKUP($B18,'4'!$A$56:$AK$79,COLUMN('4'!AF$1),0)</f>
        <v>7.7881619937694602E-2</v>
      </c>
      <c r="K18" s="107">
        <f>VLOOKUP($B18,'4'!$A$56:$AK$79,COLUMN('4'!AG$1),0)</f>
        <v>450</v>
      </c>
      <c r="L18" s="108">
        <f>VLOOKUP($B18,'4'!$A$56:$AK$79,COLUMN('4'!AH$1),0)</f>
        <v>481</v>
      </c>
      <c r="M18" s="49">
        <f>VLOOKUP($B18,'4'!$A$56:$AK$79,COLUMN('4'!AI$1),0)</f>
        <v>-6.4449064449064397E-2</v>
      </c>
      <c r="N18" s="108">
        <f>VLOOKUP($B18,'4'!$A$56:$AK$79,COLUMN('4'!AJ$1),0)</f>
        <v>450</v>
      </c>
      <c r="O18" s="50">
        <f>VLOOKUP($B18,'4'!$A$56:$AK$79,COLUMN('4'!AK$1),0)</f>
        <v>1</v>
      </c>
      <c r="P18" s="79">
        <f>IFERROR(VLOOKUP($C18,Sheet5!$C:$K,COLUMN(Sheet5!D$2)-2,0),"")</f>
        <v>0.99009900990098998</v>
      </c>
      <c r="Q18" s="145">
        <f>IFERROR(VLOOKUP($C18,Sheet5!$C:$K,COLUMN(Sheet5!E$2)-2,0),"")</f>
        <v>0.35087719298245601</v>
      </c>
      <c r="R18" s="74">
        <f>IFERROR(VLOOKUP($C18,Sheet5!$C:$K,COLUMN(Sheet5!F$2)-2,0),"")</f>
        <v>0.49315068493150699</v>
      </c>
      <c r="S18" s="74">
        <f>IFERROR(VLOOKUP($C18,Sheet5!$C:$K,COLUMN(Sheet5!G$2)-2,0),"")</f>
        <v>1</v>
      </c>
      <c r="T18" s="74">
        <f>IFERROR(VLOOKUP($C18,Sheet5!$C:$K,COLUMN(Sheet5!H$2)-2,0),"")</f>
        <v>0.53801169590643294</v>
      </c>
      <c r="U18" s="78">
        <f>IFERROR(VLOOKUP($C18,Sheet5!$C:$K,COLUMN(Sheet5!I$2)-2,0),"")</f>
        <v>0.875</v>
      </c>
    </row>
    <row r="19" spans="2:24" hidden="1" x14ac:dyDescent="0.2">
      <c r="B19" s="46">
        <v>10</v>
      </c>
      <c r="C19" s="47" t="str">
        <f>VLOOKUP($B19,'4'!$A$56:$AK$79,COLUMN('4'!Z$1),0)</f>
        <v>漠河慧民</v>
      </c>
      <c r="D19" s="155" t="str">
        <f>VLOOKUP(C19,'4'!AL:AM,2,0)</f>
        <v>兴安外埠所</v>
      </c>
      <c r="E19" s="107">
        <f>VLOOKUP($B19,'4'!$A$56:$AK$79,COLUMN('4'!AA$1),0)</f>
        <v>58</v>
      </c>
      <c r="F19" s="108">
        <f>VLOOKUP($B19,'4'!$A$56:$AK$79,COLUMN('4'!AB$1),0)</f>
        <v>62</v>
      </c>
      <c r="G19" s="109">
        <f>VLOOKUP($B19,'4'!$A$56:$AK$79,COLUMN('4'!AC$1),0)</f>
        <v>70</v>
      </c>
      <c r="H19" s="48">
        <f>VLOOKUP($B19,'4'!$A$56:$AK$79,COLUMN('4'!AD$1),0)</f>
        <v>0.65714285714285703</v>
      </c>
      <c r="I19" s="49">
        <f>VLOOKUP($B19,'4'!$A$56:$AK$79,COLUMN('4'!AE$1),0)</f>
        <v>-0.42056074766355145</v>
      </c>
      <c r="J19" s="50">
        <f>VLOOKUP($B19,'4'!$A$56:$AK$79,COLUMN('4'!AF$1),0)</f>
        <v>0.32075471698113223</v>
      </c>
      <c r="K19" s="107">
        <f>VLOOKUP($B19,'4'!$A$56:$AK$79,COLUMN('4'!AG$1),0)</f>
        <v>125</v>
      </c>
      <c r="L19" s="108">
        <f>VLOOKUP($B19,'4'!$A$56:$AK$79,COLUMN('4'!AH$1),0)</f>
        <v>136</v>
      </c>
      <c r="M19" s="49">
        <f>VLOOKUP($B19,'4'!$A$56:$AK$79,COLUMN('4'!AI$1),0)</f>
        <v>-8.0882352941176516E-2</v>
      </c>
      <c r="N19" s="108">
        <f>VLOOKUP($B19,'4'!$A$56:$AK$79,COLUMN('4'!AJ$1),0)</f>
        <v>125</v>
      </c>
      <c r="O19" s="50">
        <f>VLOOKUP($B19,'4'!$A$56:$AK$79,COLUMN('4'!AK$1),0)</f>
        <v>1</v>
      </c>
      <c r="P19" s="79" t="str">
        <f>IFERROR(VLOOKUP($C19,Sheet5!$C:$K,COLUMN(Sheet5!D$2)-2,0),"")</f>
        <v/>
      </c>
      <c r="Q19" s="145" t="str">
        <f>IFERROR(VLOOKUP($C19,Sheet5!$C:$K,COLUMN(Sheet5!E$2)-2,0),"")</f>
        <v/>
      </c>
      <c r="R19" s="74" t="str">
        <f>IFERROR(VLOOKUP($C19,Sheet5!$C:$K,COLUMN(Sheet5!F$2)-2,0),"")</f>
        <v/>
      </c>
      <c r="S19" s="74" t="str">
        <f>IFERROR(VLOOKUP($C19,Sheet5!$C:$K,COLUMN(Sheet5!G$2)-2,0),"")</f>
        <v/>
      </c>
      <c r="T19" s="74" t="str">
        <f>IFERROR(VLOOKUP($C19,Sheet5!$C:$K,COLUMN(Sheet5!H$2)-2,0),"")</f>
        <v/>
      </c>
      <c r="U19" s="78" t="str">
        <f>IFERROR(VLOOKUP($C19,Sheet5!$C:$K,COLUMN(Sheet5!I$2)-2,0),"")</f>
        <v/>
      </c>
    </row>
    <row r="20" spans="2:24" hidden="1" x14ac:dyDescent="0.2">
      <c r="B20" s="46">
        <v>11</v>
      </c>
      <c r="C20" s="47" t="str">
        <f>VLOOKUP($B20,'4'!$A$56:$AK$79,COLUMN('4'!Z$1),0)</f>
        <v>伊敏馨圣</v>
      </c>
      <c r="D20" s="155" t="str">
        <f>VLOOKUP(C20,'4'!AL:AM,2,0)</f>
        <v>呼盟外埠所</v>
      </c>
      <c r="E20" s="107">
        <f>VLOOKUP($B20,'4'!$A$56:$AK$79,COLUMN('4'!AA$1),0)</f>
        <v>80</v>
      </c>
      <c r="F20" s="108">
        <f>VLOOKUP($B20,'4'!$A$56:$AK$79,COLUMN('4'!AB$1),0)</f>
        <v>103</v>
      </c>
      <c r="G20" s="109">
        <f>VLOOKUP($B20,'4'!$A$56:$AK$79,COLUMN('4'!AC$1),0)</f>
        <v>106</v>
      </c>
      <c r="H20" s="48">
        <f>VLOOKUP($B20,'4'!$A$56:$AK$79,COLUMN('4'!AD$1),0)</f>
        <v>15</v>
      </c>
      <c r="I20" s="49">
        <f>VLOOKUP($B20,'4'!$A$56:$AK$79,COLUMN('4'!AE$1),0)</f>
        <v>0</v>
      </c>
      <c r="J20" s="50">
        <f>VLOOKUP($B20,'4'!$A$56:$AK$79,COLUMN('4'!AF$1),0)</f>
        <v>0.8275862068965516</v>
      </c>
      <c r="K20" s="107">
        <f>VLOOKUP($B20,'4'!$A$56:$AK$79,COLUMN('4'!AG$1),0)</f>
        <v>125</v>
      </c>
      <c r="L20" s="108">
        <f>VLOOKUP($B20,'4'!$A$56:$AK$79,COLUMN('4'!AH$1),0)</f>
        <v>140</v>
      </c>
      <c r="M20" s="49">
        <f>VLOOKUP($B20,'4'!$A$56:$AK$79,COLUMN('4'!AI$1),0)</f>
        <v>-0.1071428571428571</v>
      </c>
      <c r="N20" s="108">
        <f>VLOOKUP($B20,'4'!$A$56:$AK$79,COLUMN('4'!AJ$1),0)</f>
        <v>125</v>
      </c>
      <c r="O20" s="50">
        <f>VLOOKUP($B20,'4'!$A$56:$AK$79,COLUMN('4'!AK$1),0)</f>
        <v>1</v>
      </c>
      <c r="P20" s="79">
        <f>IFERROR(VLOOKUP($C20,Sheet5!$C:$K,COLUMN(Sheet5!D$2)-2,0),"")</f>
        <v>0.91089108910891103</v>
      </c>
      <c r="Q20" s="145">
        <f>IFERROR(VLOOKUP($C20,Sheet5!$C:$K,COLUMN(Sheet5!E$2)-2,0),"")</f>
        <v>0.26896551724137902</v>
      </c>
      <c r="R20" s="74">
        <f>IFERROR(VLOOKUP($C20,Sheet5!$C:$K,COLUMN(Sheet5!F$2)-2,0),"")</f>
        <v>0.24242424242424199</v>
      </c>
      <c r="S20" s="74">
        <f>IFERROR(VLOOKUP($C20,Sheet5!$C:$K,COLUMN(Sheet5!G$2)-2,0),"")</f>
        <v>0.5</v>
      </c>
      <c r="T20" s="74">
        <f>IFERROR(VLOOKUP($C20,Sheet5!$C:$K,COLUMN(Sheet5!H$2)-2,0),"")</f>
        <v>0.30344827586206902</v>
      </c>
      <c r="U20" s="78">
        <f>IFERROR(VLOOKUP($C20,Sheet5!$C:$K,COLUMN(Sheet5!I$2)-2,0),"")</f>
        <v>0.5</v>
      </c>
    </row>
    <row r="21" spans="2:24" hidden="1" x14ac:dyDescent="0.2">
      <c r="B21" s="46">
        <v>12</v>
      </c>
      <c r="C21" s="47" t="str">
        <f>VLOOKUP($B21,'4'!$A$56:$AK$79,COLUMN('4'!Z$1),0)</f>
        <v>海拉泰运</v>
      </c>
      <c r="D21" s="155" t="str">
        <f>VLOOKUP(C21,'4'!AL:AM,2,0)</f>
        <v>海拉尔城区所</v>
      </c>
      <c r="E21" s="107">
        <f>VLOOKUP($B21,'4'!$A$56:$AK$79,COLUMN('4'!AA$1),0)</f>
        <v>150</v>
      </c>
      <c r="F21" s="108">
        <f>VLOOKUP($B21,'4'!$A$56:$AK$79,COLUMN('4'!AB$1),0)</f>
        <v>265</v>
      </c>
      <c r="G21" s="109">
        <f>VLOOKUP($B21,'4'!$A$56:$AK$79,COLUMN('4'!AC$1),0)</f>
        <v>221</v>
      </c>
      <c r="H21" s="48">
        <f>VLOOKUP($B21,'4'!$A$56:$AK$79,COLUMN('4'!AD$1),0)</f>
        <v>-0.32735426008968616</v>
      </c>
      <c r="I21" s="49">
        <f>VLOOKUP($B21,'4'!$A$56:$AK$79,COLUMN('4'!AE$1),0)</f>
        <v>-0.35679611650485432</v>
      </c>
      <c r="J21" s="50">
        <f>VLOOKUP($B21,'4'!$A$56:$AK$79,COLUMN('4'!AF$1),0)</f>
        <v>1.0849056603773586</v>
      </c>
      <c r="K21" s="107">
        <f>VLOOKUP($B21,'4'!$A$56:$AK$79,COLUMN('4'!AG$1),0)</f>
        <v>397.5</v>
      </c>
      <c r="L21" s="108">
        <f>VLOOKUP($B21,'4'!$A$56:$AK$79,COLUMN('4'!AH$1),0)</f>
        <v>448</v>
      </c>
      <c r="M21" s="49">
        <f>VLOOKUP($B21,'4'!$A$56:$AK$79,COLUMN('4'!AI$1),0)</f>
        <v>-0.1127232142857143</v>
      </c>
      <c r="N21" s="108">
        <f>VLOOKUP($B21,'4'!$A$56:$AK$79,COLUMN('4'!AJ$1),0)</f>
        <v>397.5</v>
      </c>
      <c r="O21" s="50">
        <f>VLOOKUP($B21,'4'!$A$56:$AK$79,COLUMN('4'!AK$1),0)</f>
        <v>1</v>
      </c>
      <c r="P21" s="79">
        <f>IFERROR(VLOOKUP($C21,Sheet5!$C:$K,COLUMN(Sheet5!D$2)-2,0),"")</f>
        <v>0.64088397790055296</v>
      </c>
      <c r="Q21" s="145">
        <f>IFERROR(VLOOKUP($C21,Sheet5!$C:$K,COLUMN(Sheet5!E$2)-2,0),"")</f>
        <v>0.20164609053497901</v>
      </c>
      <c r="R21" s="74">
        <f>IFERROR(VLOOKUP($C21,Sheet5!$C:$K,COLUMN(Sheet5!F$2)-2,0),"")</f>
        <v>0.24274406332453802</v>
      </c>
      <c r="S21" s="74">
        <f>IFERROR(VLOOKUP($C21,Sheet5!$C:$K,COLUMN(Sheet5!G$2)-2,0),"")</f>
        <v>0.58333333333333304</v>
      </c>
      <c r="T21" s="74">
        <f>IFERROR(VLOOKUP($C21,Sheet5!$C:$K,COLUMN(Sheet5!H$2)-2,0),"")</f>
        <v>0.38429752066115697</v>
      </c>
      <c r="U21" s="78">
        <f>IFERROR(VLOOKUP($C21,Sheet5!$C:$K,COLUMN(Sheet5!I$2)-2,0),"")</f>
        <v>0.4</v>
      </c>
    </row>
    <row r="22" spans="2:24" hidden="1" x14ac:dyDescent="0.2">
      <c r="B22" s="46">
        <v>13</v>
      </c>
      <c r="C22" s="47" t="str">
        <f>VLOOKUP($B22,'4'!$A$56:$AK$79,COLUMN('4'!Z$1),0)</f>
        <v>嫩江鑫宇新</v>
      </c>
      <c r="D22" s="155" t="str">
        <f>VLOOKUP(C22,'4'!AL:AM,2,0)</f>
        <v>兴安外埠所</v>
      </c>
      <c r="E22" s="107">
        <f>VLOOKUP($B22,'4'!$A$56:$AK$79,COLUMN('4'!AA$1),0)</f>
        <v>285</v>
      </c>
      <c r="F22" s="108">
        <f>VLOOKUP($B22,'4'!$A$56:$AK$79,COLUMN('4'!AB$1),0)</f>
        <v>563</v>
      </c>
      <c r="G22" s="109">
        <f>VLOOKUP($B22,'4'!$A$56:$AK$79,COLUMN('4'!AC$1),0)</f>
        <v>340</v>
      </c>
      <c r="H22" s="48">
        <f>VLOOKUP($B22,'4'!$A$56:$AK$79,COLUMN('4'!AD$1),0)</f>
        <v>-0.17630057803468213</v>
      </c>
      <c r="I22" s="49">
        <f>VLOOKUP($B22,'4'!$A$56:$AK$79,COLUMN('4'!AE$1),0)</f>
        <v>1.7793594306048099E-3</v>
      </c>
      <c r="J22" s="50">
        <f>VLOOKUP($B22,'4'!$A$56:$AK$79,COLUMN('4'!AF$1),0)</f>
        <v>-0.38628158844765348</v>
      </c>
      <c r="K22" s="107">
        <f>VLOOKUP($B22,'4'!$A$56:$AK$79,COLUMN('4'!AG$1),0)</f>
        <v>587.5</v>
      </c>
      <c r="L22" s="108">
        <f>VLOOKUP($B22,'4'!$A$56:$AK$79,COLUMN('4'!AH$1),0)</f>
        <v>663</v>
      </c>
      <c r="M22" s="49">
        <f>VLOOKUP($B22,'4'!$A$56:$AK$79,COLUMN('4'!AI$1),0)</f>
        <v>-0.11387631975867274</v>
      </c>
      <c r="N22" s="108">
        <f>VLOOKUP($B22,'4'!$A$56:$AK$79,COLUMN('4'!AJ$1),0)</f>
        <v>587.5</v>
      </c>
      <c r="O22" s="50">
        <f>VLOOKUP($B22,'4'!$A$56:$AK$79,COLUMN('4'!AK$1),0)</f>
        <v>1</v>
      </c>
      <c r="P22" s="79">
        <f>IFERROR(VLOOKUP($C22,Sheet5!$C:$K,COLUMN(Sheet5!D$2)-2,0),"")</f>
        <v>0.89545454545454506</v>
      </c>
      <c r="Q22" s="145">
        <f>IFERROR(VLOOKUP($C22,Sheet5!$C:$K,COLUMN(Sheet5!E$2)-2,0),"")</f>
        <v>9.1911764705882415E-2</v>
      </c>
      <c r="R22" s="74">
        <f>IFERROR(VLOOKUP($C22,Sheet5!$C:$K,COLUMN(Sheet5!F$2)-2,0),"")</f>
        <v>0.25675675675675697</v>
      </c>
      <c r="S22" s="74">
        <f>IFERROR(VLOOKUP($C22,Sheet5!$C:$K,COLUMN(Sheet5!G$2)-2,0),"")</f>
        <v>0.52631578947368407</v>
      </c>
      <c r="T22" s="74">
        <f>IFERROR(VLOOKUP($C22,Sheet5!$C:$K,COLUMN(Sheet5!H$2)-2,0),"")</f>
        <v>0.39338235294117602</v>
      </c>
      <c r="U22" s="78">
        <f>IFERROR(VLOOKUP($C22,Sheet5!$C:$K,COLUMN(Sheet5!I$2)-2,0),"")</f>
        <v>0.26315789473684204</v>
      </c>
    </row>
    <row r="23" spans="2:24" hidden="1" x14ac:dyDescent="0.2">
      <c r="B23" s="46">
        <v>14</v>
      </c>
      <c r="C23" s="47" t="str">
        <f>VLOOKUP($B23,'4'!$A$56:$AK$79,COLUMN('4'!Z$1),0)</f>
        <v>扎兰合益</v>
      </c>
      <c r="D23" s="155" t="str">
        <f>VLOOKUP(C23,'4'!AL:AM,2,0)</f>
        <v>呼盟外埠所</v>
      </c>
      <c r="E23" s="107">
        <f>VLOOKUP($B23,'4'!$A$56:$AK$79,COLUMN('4'!AA$1),0)</f>
        <v>354</v>
      </c>
      <c r="F23" s="108">
        <f>VLOOKUP($B23,'4'!$A$56:$AK$79,COLUMN('4'!AB$1),0)</f>
        <v>525</v>
      </c>
      <c r="G23" s="109">
        <f>VLOOKUP($B23,'4'!$A$56:$AK$79,COLUMN('4'!AC$1),0)</f>
        <v>418</v>
      </c>
      <c r="H23" s="48">
        <f>VLOOKUP($B23,'4'!$A$56:$AK$79,COLUMN('4'!AD$1),0)</f>
        <v>0.16831683168316824</v>
      </c>
      <c r="I23" s="49">
        <f>VLOOKUP($B23,'4'!$A$56:$AK$79,COLUMN('4'!AE$1),0)</f>
        <v>2.3391812865497075E-2</v>
      </c>
      <c r="J23" s="50">
        <f>VLOOKUP($B23,'4'!$A$56:$AK$79,COLUMN('4'!AF$1),0)</f>
        <v>-0.23443223443223449</v>
      </c>
      <c r="K23" s="107">
        <f>VLOOKUP($B23,'4'!$A$56:$AK$79,COLUMN('4'!AG$1),0)</f>
        <v>513.75</v>
      </c>
      <c r="L23" s="108">
        <f>VLOOKUP($B23,'4'!$A$56:$AK$79,COLUMN('4'!AH$1),0)</f>
        <v>608</v>
      </c>
      <c r="M23" s="49">
        <f>VLOOKUP($B23,'4'!$A$56:$AK$79,COLUMN('4'!AI$1),0)</f>
        <v>-0.15501644736842102</v>
      </c>
      <c r="N23" s="108">
        <f>VLOOKUP($B23,'4'!$A$56:$AK$79,COLUMN('4'!AJ$1),0)</f>
        <v>513.75</v>
      </c>
      <c r="O23" s="50">
        <f>VLOOKUP($B23,'4'!$A$56:$AK$79,COLUMN('4'!AK$1),0)</f>
        <v>1</v>
      </c>
      <c r="P23" s="79">
        <f>IFERROR(VLOOKUP($C23,Sheet5!$C:$K,COLUMN(Sheet5!D$2)-2,0),"")</f>
        <v>0.83516483516483508</v>
      </c>
      <c r="Q23" s="145">
        <f>IFERROR(VLOOKUP($C23,Sheet5!$C:$K,COLUMN(Sheet5!E$2)-2,0),"")</f>
        <v>0.17785234899328897</v>
      </c>
      <c r="R23" s="74">
        <f>IFERROR(VLOOKUP($C23,Sheet5!$C:$K,COLUMN(Sheet5!F$2)-2,0),"")</f>
        <v>0.28764044943820199</v>
      </c>
      <c r="S23" s="74">
        <f>IFERROR(VLOOKUP($C23,Sheet5!$C:$K,COLUMN(Sheet5!G$2)-2,0),"")</f>
        <v>0.55882352941176494</v>
      </c>
      <c r="T23" s="74">
        <f>IFERROR(VLOOKUP($C23,Sheet5!$C:$K,COLUMN(Sheet5!H$2)-2,0),"")</f>
        <v>0.365771812080537</v>
      </c>
      <c r="U23" s="78">
        <f>IFERROR(VLOOKUP($C23,Sheet5!$C:$K,COLUMN(Sheet5!I$2)-2,0),"")</f>
        <v>0.34482758620689702</v>
      </c>
    </row>
    <row r="24" spans="2:24" hidden="1" x14ac:dyDescent="0.2">
      <c r="B24" s="46">
        <v>15</v>
      </c>
      <c r="C24" s="47" t="str">
        <f>VLOOKUP($B24,'4'!$A$56:$AK$79,COLUMN('4'!Z$1),0)</f>
        <v>黑河男狮</v>
      </c>
      <c r="D24" s="155" t="str">
        <f>VLOOKUP(C24,'4'!AL:AM,2,0)</f>
        <v>兴安外埠所</v>
      </c>
      <c r="E24" s="107">
        <f>VLOOKUP($B24,'4'!$A$56:$AK$79,COLUMN('4'!AA$1),0)</f>
        <v>150</v>
      </c>
      <c r="F24" s="108">
        <f>VLOOKUP($B24,'4'!$A$56:$AK$79,COLUMN('4'!AB$1),0)</f>
        <v>301</v>
      </c>
      <c r="G24" s="109">
        <f>VLOOKUP($B24,'4'!$A$56:$AK$79,COLUMN('4'!AC$1),0)</f>
        <v>220</v>
      </c>
      <c r="H24" s="48">
        <f>VLOOKUP($B24,'4'!$A$56:$AK$79,COLUMN('4'!AD$1),0)</f>
        <v>-6.8322981366459645E-2</v>
      </c>
      <c r="I24" s="49">
        <f>VLOOKUP($B24,'4'!$A$56:$AK$79,COLUMN('4'!AE$1),0)</f>
        <v>8.2733812949640217E-2</v>
      </c>
      <c r="J24" s="50">
        <f>VLOOKUP($B24,'4'!$A$56:$AK$79,COLUMN('4'!AF$1),0)</f>
        <v>-9.4650205761316886E-2</v>
      </c>
      <c r="K24" s="107">
        <f>VLOOKUP($B24,'4'!$A$56:$AK$79,COLUMN('4'!AG$1),0)</f>
        <v>300</v>
      </c>
      <c r="L24" s="108">
        <f>VLOOKUP($B24,'4'!$A$56:$AK$79,COLUMN('4'!AH$1),0)</f>
        <v>356</v>
      </c>
      <c r="M24" s="49">
        <f>VLOOKUP($B24,'4'!$A$56:$AK$79,COLUMN('4'!AI$1),0)</f>
        <v>-0.15730337078651691</v>
      </c>
      <c r="N24" s="108">
        <f>VLOOKUP($B24,'4'!$A$56:$AK$79,COLUMN('4'!AJ$1),0)</f>
        <v>300</v>
      </c>
      <c r="O24" s="50">
        <f>VLOOKUP($B24,'4'!$A$56:$AK$79,COLUMN('4'!AK$1),0)</f>
        <v>1</v>
      </c>
      <c r="P24" s="79">
        <f>IFERROR(VLOOKUP($C24,Sheet5!$C:$K,COLUMN(Sheet5!D$2)-2,0),"")</f>
        <v>0.94897959183673508</v>
      </c>
      <c r="Q24" s="145">
        <f>IFERROR(VLOOKUP($C24,Sheet5!$C:$K,COLUMN(Sheet5!E$2)-2,0),"")</f>
        <v>0.13698630136986301</v>
      </c>
      <c r="R24" s="74">
        <f>IFERROR(VLOOKUP($C24,Sheet5!$C:$K,COLUMN(Sheet5!F$2)-2,0),"")</f>
        <v>9.9678456591639902E-2</v>
      </c>
      <c r="S24" s="74">
        <f>IFERROR(VLOOKUP($C24,Sheet5!$C:$K,COLUMN(Sheet5!G$2)-2,0),"")</f>
        <v>0.35294117647058798</v>
      </c>
      <c r="T24" s="74">
        <f>IFERROR(VLOOKUP($C24,Sheet5!$C:$K,COLUMN(Sheet5!H$2)-2,0),"")</f>
        <v>0.17241379310344801</v>
      </c>
      <c r="U24" s="78">
        <f>IFERROR(VLOOKUP($C24,Sheet5!$C:$K,COLUMN(Sheet5!I$2)-2,0),"")</f>
        <v>0.35294117647058798</v>
      </c>
    </row>
    <row r="25" spans="2:24" hidden="1" x14ac:dyDescent="0.2">
      <c r="B25" s="46">
        <v>16</v>
      </c>
      <c r="C25" s="47" t="str">
        <f>VLOOKUP($B25,'4'!$A$56:$AK$79,COLUMN('4'!Z$1),0)</f>
        <v>富裕泓淼源</v>
      </c>
      <c r="D25" s="155" t="str">
        <f>VLOOKUP(C25,'4'!AL:AM,2,0)</f>
        <v>龙江外埠所</v>
      </c>
      <c r="E25" s="107">
        <f>VLOOKUP($B25,'4'!$A$56:$AK$79,COLUMN('4'!AA$1),0)</f>
        <v>180</v>
      </c>
      <c r="F25" s="108">
        <f>VLOOKUP($B25,'4'!$A$56:$AK$79,COLUMN('4'!AB$1),0)</f>
        <v>472</v>
      </c>
      <c r="G25" s="109">
        <f>VLOOKUP($B25,'4'!$A$56:$AK$79,COLUMN('4'!AC$1),0)</f>
        <v>50</v>
      </c>
      <c r="H25" s="48">
        <f>VLOOKUP($B25,'4'!$A$56:$AK$79,COLUMN('4'!AD$1),0)</f>
        <v>-0.240506329113924</v>
      </c>
      <c r="I25" s="49">
        <f>VLOOKUP($B25,'4'!$A$56:$AK$79,COLUMN('4'!AE$1),0)</f>
        <v>2.1231422505307851E-3</v>
      </c>
      <c r="J25" s="50">
        <f>VLOOKUP($B25,'4'!$A$56:$AK$79,COLUMN('4'!AF$1),0)</f>
        <v>-0.8554913294797688</v>
      </c>
      <c r="K25" s="107">
        <f>VLOOKUP($B25,'4'!$A$56:$AK$79,COLUMN('4'!AG$1),0)</f>
        <v>355</v>
      </c>
      <c r="L25" s="108">
        <f>VLOOKUP($B25,'4'!$A$56:$AK$79,COLUMN('4'!AH$1),0)</f>
        <v>428</v>
      </c>
      <c r="M25" s="49">
        <f>VLOOKUP($B25,'4'!$A$56:$AK$79,COLUMN('4'!AI$1),0)</f>
        <v>-0.17056074766355145</v>
      </c>
      <c r="N25" s="108">
        <f>VLOOKUP($B25,'4'!$A$56:$AK$79,COLUMN('4'!AJ$1),0)</f>
        <v>355</v>
      </c>
      <c r="O25" s="50">
        <f>VLOOKUP($B25,'4'!$A$56:$AK$79,COLUMN('4'!AK$1),0)</f>
        <v>1</v>
      </c>
      <c r="P25" s="79">
        <f>IFERROR(VLOOKUP($C25,Sheet5!$C:$K,COLUMN(Sheet5!D$2)-2,0),"")</f>
        <v>0.73737373737373701</v>
      </c>
      <c r="Q25" s="145">
        <f>IFERROR(VLOOKUP($C25,Sheet5!$C:$K,COLUMN(Sheet5!E$2)-2,0),"")</f>
        <v>0.40886699507389201</v>
      </c>
      <c r="R25" s="74">
        <f>IFERROR(VLOOKUP($C25,Sheet5!$C:$K,COLUMN(Sheet5!F$2)-2,0),"")</f>
        <v>0.4375</v>
      </c>
      <c r="S25" s="74">
        <f>IFERROR(VLOOKUP($C25,Sheet5!$C:$K,COLUMN(Sheet5!G$2)-2,0),"")</f>
        <v>0.6</v>
      </c>
      <c r="T25" s="74">
        <f>IFERROR(VLOOKUP($C25,Sheet5!$C:$K,COLUMN(Sheet5!H$2)-2,0),"")</f>
        <v>0.44334975369458102</v>
      </c>
      <c r="U25" s="78">
        <f>IFERROR(VLOOKUP($C25,Sheet5!$C:$K,COLUMN(Sheet5!I$2)-2,0),"")</f>
        <v>0.66666666666666696</v>
      </c>
    </row>
    <row r="26" spans="2:24" hidden="1" x14ac:dyDescent="0.2">
      <c r="B26" s="46">
        <v>17</v>
      </c>
      <c r="C26" s="47" t="str">
        <f>VLOOKUP($B26,'4'!$A$56:$AK$79,COLUMN('4'!Z$1),0)</f>
        <v>甘南润鑫龙</v>
      </c>
      <c r="D26" s="155" t="str">
        <f>VLOOKUP(C26,'4'!AL:AM,2,0)</f>
        <v>龙江外埠所</v>
      </c>
      <c r="E26" s="107">
        <f>VLOOKUP($B26,'4'!$A$56:$AK$79,COLUMN('4'!AA$1),0)</f>
        <v>110</v>
      </c>
      <c r="F26" s="108">
        <f>VLOOKUP($B26,'4'!$A$56:$AK$79,COLUMN('4'!AB$1),0)</f>
        <v>45</v>
      </c>
      <c r="G26" s="109">
        <f>VLOOKUP($B26,'4'!$A$56:$AK$79,COLUMN('4'!AC$1),0)</f>
        <v>297</v>
      </c>
      <c r="H26" s="48">
        <f>VLOOKUP($B26,'4'!$A$56:$AK$79,COLUMN('4'!AD$1),0)</f>
        <v>-0.40540540540540537</v>
      </c>
      <c r="I26" s="49">
        <f>VLOOKUP($B26,'4'!$A$56:$AK$79,COLUMN('4'!AE$1),0)</f>
        <v>-0.87142857142857144</v>
      </c>
      <c r="J26" s="50">
        <f>VLOOKUP($B26,'4'!$A$56:$AK$79,COLUMN('4'!AF$1),0)</f>
        <v>0.23236514522821583</v>
      </c>
      <c r="K26" s="107">
        <f>VLOOKUP($B26,'4'!$A$56:$AK$79,COLUMN('4'!AG$1),0)</f>
        <v>325</v>
      </c>
      <c r="L26" s="108">
        <f>VLOOKUP($B26,'4'!$A$56:$AK$79,COLUMN('4'!AH$1),0)</f>
        <v>407</v>
      </c>
      <c r="M26" s="49">
        <f>VLOOKUP($B26,'4'!$A$56:$AK$79,COLUMN('4'!AI$1),0)</f>
        <v>-0.20147420147420148</v>
      </c>
      <c r="N26" s="108">
        <f>VLOOKUP($B26,'4'!$A$56:$AK$79,COLUMN('4'!AJ$1),0)</f>
        <v>325</v>
      </c>
      <c r="O26" s="50">
        <f>VLOOKUP($B26,'4'!$A$56:$AK$79,COLUMN('4'!AK$1),0)</f>
        <v>1</v>
      </c>
      <c r="P26" s="79">
        <f>IFERROR(VLOOKUP($C26,Sheet5!$C:$K,COLUMN(Sheet5!D$2)-2,0),"")</f>
        <v>0.78787878787878796</v>
      </c>
      <c r="Q26" s="145">
        <f>IFERROR(VLOOKUP($C26,Sheet5!$C:$K,COLUMN(Sheet5!E$2)-2,0),"")</f>
        <v>0.31451612903225801</v>
      </c>
      <c r="R26" s="74">
        <f>IFERROR(VLOOKUP($C26,Sheet5!$C:$K,COLUMN(Sheet5!F$2)-2,0),"")</f>
        <v>0.44051446945337602</v>
      </c>
      <c r="S26" s="74">
        <f>IFERROR(VLOOKUP($C26,Sheet5!$C:$K,COLUMN(Sheet5!G$2)-2,0),"")</f>
        <v>0.58823529411764708</v>
      </c>
      <c r="T26" s="74">
        <f>IFERROR(VLOOKUP($C26,Sheet5!$C:$K,COLUMN(Sheet5!H$2)-2,0),"")</f>
        <v>0.40725806451612895</v>
      </c>
      <c r="U26" s="78">
        <f>IFERROR(VLOOKUP($C26,Sheet5!$C:$K,COLUMN(Sheet5!I$2)-2,0),"")</f>
        <v>0.58823529411764708</v>
      </c>
    </row>
    <row r="27" spans="2:24" hidden="1" x14ac:dyDescent="0.2">
      <c r="B27" s="46">
        <v>18</v>
      </c>
      <c r="C27" s="47" t="str">
        <f>VLOOKUP($B27,'4'!$A$56:$AK$79,COLUMN('4'!Z$1),0)</f>
        <v>加奇莫北</v>
      </c>
      <c r="D27" s="155" t="str">
        <f>VLOOKUP(C27,'4'!AL:AM,2,0)</f>
        <v>兴安外埠所</v>
      </c>
      <c r="E27" s="107">
        <f>VLOOKUP($B27,'4'!$A$56:$AK$79,COLUMN('4'!AA$1),0)</f>
        <v>210</v>
      </c>
      <c r="F27" s="108">
        <f>VLOOKUP($B27,'4'!$A$56:$AK$79,COLUMN('4'!AB$1),0)</f>
        <v>380</v>
      </c>
      <c r="G27" s="109">
        <f>VLOOKUP($B27,'4'!$A$56:$AK$79,COLUMN('4'!AC$1),0)</f>
        <v>50</v>
      </c>
      <c r="H27" s="48">
        <f>VLOOKUP($B27,'4'!$A$56:$AK$79,COLUMN('4'!AD$1),0)</f>
        <v>-0.13223140495867769</v>
      </c>
      <c r="I27" s="49">
        <f>VLOOKUP($B27,'4'!$A$56:$AK$79,COLUMN('4'!AE$1),0)</f>
        <v>4.1095890410958846E-2</v>
      </c>
      <c r="J27" s="50">
        <f>VLOOKUP($B27,'4'!$A$56:$AK$79,COLUMN('4'!AF$1),0)</f>
        <v>-0.84423676012461057</v>
      </c>
      <c r="K27" s="107">
        <f>VLOOKUP($B27,'4'!$A$56:$AK$79,COLUMN('4'!AG$1),0)</f>
        <v>388</v>
      </c>
      <c r="L27" s="108">
        <f>VLOOKUP($B27,'4'!$A$56:$AK$79,COLUMN('4'!AH$1),0)</f>
        <v>491</v>
      </c>
      <c r="M27" s="49">
        <f>VLOOKUP($B27,'4'!$A$56:$AK$79,COLUMN('4'!AI$1),0)</f>
        <v>-0.20977596741344195</v>
      </c>
      <c r="N27" s="108">
        <f>VLOOKUP($B27,'4'!$A$56:$AK$79,COLUMN('4'!AJ$1),0)</f>
        <v>0</v>
      </c>
      <c r="O27" s="50" t="str">
        <f>VLOOKUP($B27,'4'!$A$56:$AK$79,COLUMN('4'!AK$1),0)</f>
        <v/>
      </c>
      <c r="P27" s="79" t="str">
        <f>IFERROR(VLOOKUP($C27,Sheet5!$C:$K,COLUMN(Sheet5!D$2)-2,0),"")</f>
        <v/>
      </c>
      <c r="Q27" s="145" t="str">
        <f>IFERROR(VLOOKUP($C27,Sheet5!$C:$K,COLUMN(Sheet5!E$2)-2,0),"")</f>
        <v/>
      </c>
      <c r="R27" s="74" t="str">
        <f>IFERROR(VLOOKUP($C27,Sheet5!$C:$K,COLUMN(Sheet5!F$2)-2,0),"")</f>
        <v/>
      </c>
      <c r="S27" s="74" t="str">
        <f>IFERROR(VLOOKUP($C27,Sheet5!$C:$K,COLUMN(Sheet5!G$2)-2,0),"")</f>
        <v/>
      </c>
      <c r="T27" s="74" t="str">
        <f>IFERROR(VLOOKUP($C27,Sheet5!$C:$K,COLUMN(Sheet5!H$2)-2,0),"")</f>
        <v/>
      </c>
      <c r="U27" s="78" t="str">
        <f>IFERROR(VLOOKUP($C27,Sheet5!$C:$K,COLUMN(Sheet5!I$2)-2,0),"")</f>
        <v/>
      </c>
    </row>
    <row r="28" spans="2:24" hidden="1" x14ac:dyDescent="0.2">
      <c r="B28" s="46">
        <v>19</v>
      </c>
      <c r="C28" s="47" t="str">
        <f>VLOOKUP($B28,'4'!$A$56:$AK$79,COLUMN('4'!Z$1),0)</f>
        <v>满洲万泰</v>
      </c>
      <c r="D28" s="155" t="str">
        <f>VLOOKUP(C28,'4'!AL:AM,2,0)</f>
        <v>呼盟外埠所</v>
      </c>
      <c r="E28" s="107">
        <f>VLOOKUP($B28,'4'!$A$56:$AK$79,COLUMN('4'!AA$1),0)</f>
        <v>177</v>
      </c>
      <c r="F28" s="108">
        <f>VLOOKUP($B28,'4'!$A$56:$AK$79,COLUMN('4'!AB$1),0)</f>
        <v>271</v>
      </c>
      <c r="G28" s="109">
        <f>VLOOKUP($B28,'4'!$A$56:$AK$79,COLUMN('4'!AC$1),0)</f>
        <v>227</v>
      </c>
      <c r="H28" s="48">
        <f>VLOOKUP($B28,'4'!$A$56:$AK$79,COLUMN('4'!AD$1),0)</f>
        <v>-0.16113744075829384</v>
      </c>
      <c r="I28" s="49">
        <f>VLOOKUP($B28,'4'!$A$56:$AK$79,COLUMN('4'!AE$1),0)</f>
        <v>0.15319148936170235</v>
      </c>
      <c r="J28" s="50">
        <f>VLOOKUP($B28,'4'!$A$56:$AK$79,COLUMN('4'!AF$1),0)</f>
        <v>0.86065573770491821</v>
      </c>
      <c r="K28" s="107">
        <f>VLOOKUP($B28,'4'!$A$56:$AK$79,COLUMN('4'!AG$1),0)</f>
        <v>300</v>
      </c>
      <c r="L28" s="108">
        <f>VLOOKUP($B28,'4'!$A$56:$AK$79,COLUMN('4'!AH$1),0)</f>
        <v>402</v>
      </c>
      <c r="M28" s="49">
        <f>VLOOKUP($B28,'4'!$A$56:$AK$79,COLUMN('4'!AI$1),0)</f>
        <v>-0.25373134328358204</v>
      </c>
      <c r="N28" s="108">
        <f>VLOOKUP($B28,'4'!$A$56:$AK$79,COLUMN('4'!AJ$1),0)</f>
        <v>300</v>
      </c>
      <c r="O28" s="50">
        <f>VLOOKUP($B28,'4'!$A$56:$AK$79,COLUMN('4'!AK$1),0)</f>
        <v>1</v>
      </c>
      <c r="P28" s="79">
        <f>IFERROR(VLOOKUP($C28,Sheet5!$C:$K,COLUMN(Sheet5!D$2)-2,0),"")</f>
        <v>0.96428571428571397</v>
      </c>
      <c r="Q28" s="145">
        <f>IFERROR(VLOOKUP($C28,Sheet5!$C:$K,COLUMN(Sheet5!E$2)-2,0),"")</f>
        <v>0.58371040723981904</v>
      </c>
      <c r="R28" s="74">
        <f>IFERROR(VLOOKUP($C28,Sheet5!$C:$K,COLUMN(Sheet5!F$2)-2,0),"")</f>
        <v>0.49546827794561898</v>
      </c>
      <c r="S28" s="74">
        <f>IFERROR(VLOOKUP($C28,Sheet5!$C:$K,COLUMN(Sheet5!G$2)-2,0),"")</f>
        <v>0.75</v>
      </c>
      <c r="T28" s="74">
        <f>IFERROR(VLOOKUP($C28,Sheet5!$C:$K,COLUMN(Sheet5!H$2)-2,0),"")</f>
        <v>0.62895927601809998</v>
      </c>
      <c r="U28" s="78">
        <f>IFERROR(VLOOKUP($C28,Sheet5!$C:$K,COLUMN(Sheet5!I$2)-2,0),"")</f>
        <v>0.5</v>
      </c>
    </row>
    <row r="29" spans="2:24" x14ac:dyDescent="0.2">
      <c r="B29" s="184">
        <v>20</v>
      </c>
      <c r="C29" s="182" t="str">
        <f>VLOOKUP($B29,'4'!$A$56:$AK$79,COLUMN('4'!Z$1),0)</f>
        <v>塔河塔营</v>
      </c>
      <c r="D29" s="47" t="str">
        <f>VLOOKUP(C29,'4'!AL:AM,2,0)</f>
        <v>兴安外埠所</v>
      </c>
      <c r="E29" s="107">
        <f>VLOOKUP($B29,'4'!$A$56:$AK$79,COLUMN('4'!AA$1),0)</f>
        <v>80</v>
      </c>
      <c r="F29" s="108">
        <f>VLOOKUP($B29,'4'!$A$56:$AK$79,COLUMN('4'!AB$1),0)</f>
        <v>80</v>
      </c>
      <c r="G29" s="109">
        <f>VLOOKUP($B29,'4'!$A$56:$AK$79,COLUMN('4'!AC$1),0)</f>
        <v>80</v>
      </c>
      <c r="H29" s="48">
        <f>VLOOKUP($B29,'4'!$A$56:$AK$79,COLUMN('4'!AD$1),0)</f>
        <v>0.7021276595744681</v>
      </c>
      <c r="I29" s="49">
        <f>VLOOKUP($B29,'4'!$A$56:$AK$79,COLUMN('4'!AE$1),0)</f>
        <v>0</v>
      </c>
      <c r="J29" s="50">
        <f>VLOOKUP($B29,'4'!$A$56:$AK$79,COLUMN('4'!AF$1),0)</f>
        <v>0.17647058823529416</v>
      </c>
      <c r="K29" s="107">
        <f>VLOOKUP($B29,'4'!$A$56:$AK$79,COLUMN('4'!AG$1),0)</f>
        <v>125</v>
      </c>
      <c r="L29" s="108">
        <f>VLOOKUP($B29,'4'!$A$56:$AK$79,COLUMN('4'!AH$1),0)</f>
        <v>170</v>
      </c>
      <c r="M29" s="49">
        <f>VLOOKUP($B29,'4'!$A$56:$AK$79,COLUMN('4'!AI$1),0)</f>
        <v>-0.26470588235294112</v>
      </c>
      <c r="N29" s="108">
        <f>VLOOKUP($B29,'4'!$A$56:$AK$79,COLUMN('4'!AJ$1),0)</f>
        <v>125</v>
      </c>
      <c r="O29" s="50">
        <f>VLOOKUP($B29,'4'!$A$56:$AK$79,COLUMN('4'!AK$1),0)</f>
        <v>1</v>
      </c>
      <c r="P29" s="79" t="str">
        <f>IFERROR(VLOOKUP($C29,Sheet5!$C:$K,COLUMN(Sheet5!D$2)-2,0),"")</f>
        <v/>
      </c>
      <c r="Q29" s="145" t="str">
        <f>IFERROR(VLOOKUP($C29,Sheet5!$C:$K,COLUMN(Sheet5!E$2)-2,0),"")</f>
        <v/>
      </c>
      <c r="R29" s="74" t="str">
        <f>IFERROR(VLOOKUP($C29,Sheet5!$C:$K,COLUMN(Sheet5!F$2)-2,0),"")</f>
        <v/>
      </c>
      <c r="S29" s="74" t="str">
        <f>IFERROR(VLOOKUP($C29,Sheet5!$C:$K,COLUMN(Sheet5!G$2)-2,0),"")</f>
        <v/>
      </c>
      <c r="T29" s="74" t="str">
        <f>IFERROR(VLOOKUP($C29,Sheet5!$C:$K,COLUMN(Sheet5!H$2)-2,0),"")</f>
        <v/>
      </c>
      <c r="U29" s="78" t="str">
        <f>IFERROR(VLOOKUP($C29,Sheet5!$C:$K,COLUMN(Sheet5!I$2)-2,0),"")</f>
        <v/>
      </c>
      <c r="V29" s="107">
        <v>201</v>
      </c>
      <c r="W29" s="108">
        <v>184</v>
      </c>
      <c r="X29" s="109">
        <f>W29-V29</f>
        <v>-17</v>
      </c>
    </row>
    <row r="30" spans="2:24" x14ac:dyDescent="0.2">
      <c r="B30" s="184">
        <v>21</v>
      </c>
      <c r="C30" s="182" t="str">
        <f>VLOOKUP($B30,'4'!$A$56:$AK$79,COLUMN('4'!Z$1),0)</f>
        <v>齐市彤祥</v>
      </c>
      <c r="D30" s="47" t="str">
        <f>VLOOKUP(C30,'4'!AL:AM,2,0)</f>
        <v>齐齐哈尔城区所</v>
      </c>
      <c r="E30" s="107">
        <f>VLOOKUP($B30,'4'!$A$56:$AK$79,COLUMN('4'!AA$1),0)</f>
        <v>150</v>
      </c>
      <c r="F30" s="108">
        <f>VLOOKUP($B30,'4'!$A$56:$AK$79,COLUMN('4'!AB$1),0)</f>
        <v>423</v>
      </c>
      <c r="G30" s="109">
        <f>VLOOKUP($B30,'4'!$A$56:$AK$79,COLUMN('4'!AC$1),0)</f>
        <v>288</v>
      </c>
      <c r="H30" s="48">
        <f>VLOOKUP($B30,'4'!$A$56:$AK$79,COLUMN('4'!AD$1),0)</f>
        <v>-0.42307692307692313</v>
      </c>
      <c r="I30" s="49">
        <f>VLOOKUP($B30,'4'!$A$56:$AK$79,COLUMN('4'!AE$1),0)</f>
        <v>0.62692307692307692</v>
      </c>
      <c r="J30" s="50">
        <f>VLOOKUP($B30,'4'!$A$56:$AK$79,COLUMN('4'!AF$1),0)</f>
        <v>0.82278481012658222</v>
      </c>
      <c r="K30" s="107">
        <f>VLOOKUP($B30,'4'!$A$56:$AK$79,COLUMN('4'!AG$1),0)</f>
        <v>580</v>
      </c>
      <c r="L30" s="108">
        <f>VLOOKUP($B30,'4'!$A$56:$AK$79,COLUMN('4'!AH$1),0)</f>
        <v>876</v>
      </c>
      <c r="M30" s="49">
        <f>VLOOKUP($B30,'4'!$A$56:$AK$79,COLUMN('4'!AI$1),0)</f>
        <v>-0.33789954337899542</v>
      </c>
      <c r="N30" s="108">
        <f>VLOOKUP($B30,'4'!$A$56:$AK$79,COLUMN('4'!AJ$1),0)</f>
        <v>580</v>
      </c>
      <c r="O30" s="50">
        <f>VLOOKUP($B30,'4'!$A$56:$AK$79,COLUMN('4'!AK$1),0)</f>
        <v>1</v>
      </c>
      <c r="P30" s="79">
        <f>IFERROR(VLOOKUP($C30,Sheet5!$C:$K,COLUMN(Sheet5!D$2)-2,0),"")</f>
        <v>0.97927461139896399</v>
      </c>
      <c r="Q30" s="145">
        <f>IFERROR(VLOOKUP($C30,Sheet5!$C:$K,COLUMN(Sheet5!E$2)-2,0),"")</f>
        <v>0.23214285714285701</v>
      </c>
      <c r="R30" s="74">
        <f>IFERROR(VLOOKUP($C30,Sheet5!$C:$K,COLUMN(Sheet5!F$2)-2,0),"")</f>
        <v>0.31481481481481499</v>
      </c>
      <c r="S30" s="74">
        <f>IFERROR(VLOOKUP($C30,Sheet5!$C:$K,COLUMN(Sheet5!G$2)-2,0),"")</f>
        <v>0.61333333333333295</v>
      </c>
      <c r="T30" s="74">
        <f>IFERROR(VLOOKUP($C30,Sheet5!$C:$K,COLUMN(Sheet5!H$2)-2,0),"")</f>
        <v>0.36160714285714302</v>
      </c>
      <c r="U30" s="78">
        <f>IFERROR(VLOOKUP($C30,Sheet5!$C:$K,COLUMN(Sheet5!I$2)-2,0),"")</f>
        <v>0.59154929577464799</v>
      </c>
      <c r="V30" s="107">
        <v>271</v>
      </c>
      <c r="W30" s="108">
        <v>431</v>
      </c>
      <c r="X30" s="109">
        <f t="shared" ref="X30:X33" si="0">W30-V30</f>
        <v>160</v>
      </c>
    </row>
    <row r="31" spans="2:24" x14ac:dyDescent="0.2">
      <c r="B31" s="184">
        <v>22</v>
      </c>
      <c r="C31" s="182" t="str">
        <f>VLOOKUP($B31,'4'!$A$56:$AK$79,COLUMN('4'!Z$1),0)</f>
        <v>大杨树春彤</v>
      </c>
      <c r="D31" s="47" t="str">
        <f>VLOOKUP(C31,'4'!AL:AM,2,0)</f>
        <v>兴安外埠所</v>
      </c>
      <c r="E31" s="107">
        <f>VLOOKUP($B31,'4'!$A$56:$AK$79,COLUMN('4'!AA$1),0)</f>
        <v>100</v>
      </c>
      <c r="F31" s="108">
        <f>VLOOKUP($B31,'4'!$A$56:$AK$79,COLUMN('4'!AB$1),0)</f>
        <v>223</v>
      </c>
      <c r="G31" s="109">
        <f>VLOOKUP($B31,'4'!$A$56:$AK$79,COLUMN('4'!AC$1),0)</f>
        <v>148</v>
      </c>
      <c r="H31" s="48">
        <f>VLOOKUP($B31,'4'!$A$56:$AK$79,COLUMN('4'!AD$1),0)</f>
        <v>-0.16666666666666663</v>
      </c>
      <c r="I31" s="49">
        <f>VLOOKUP($B31,'4'!$A$56:$AK$79,COLUMN('4'!AE$1),0)</f>
        <v>3.7209302325581506E-2</v>
      </c>
      <c r="J31" s="50">
        <f>VLOOKUP($B31,'4'!$A$56:$AK$79,COLUMN('4'!AF$1),0)</f>
        <v>-0.37021276595744679</v>
      </c>
      <c r="K31" s="107">
        <f>VLOOKUP($B31,'4'!$A$56:$AK$79,COLUMN('4'!AG$1),0)</f>
        <v>125</v>
      </c>
      <c r="L31" s="108">
        <f>VLOOKUP($B31,'4'!$A$56:$AK$79,COLUMN('4'!AH$1),0)</f>
        <v>208</v>
      </c>
      <c r="M31" s="49">
        <f>VLOOKUP($B31,'4'!$A$56:$AK$79,COLUMN('4'!AI$1),0)</f>
        <v>-0.39903846153846156</v>
      </c>
      <c r="N31" s="108">
        <f>VLOOKUP($B31,'4'!$A$56:$AK$79,COLUMN('4'!AJ$1),0)</f>
        <v>125</v>
      </c>
      <c r="O31" s="50">
        <f>VLOOKUP($B31,'4'!$A$56:$AK$79,COLUMN('4'!AK$1),0)</f>
        <v>1</v>
      </c>
      <c r="P31" s="79">
        <f>IFERROR(VLOOKUP($C31,Sheet5!$C:$K,COLUMN(Sheet5!D$2)-2,0),"")</f>
        <v>0.83098591549295808</v>
      </c>
      <c r="Q31" s="145">
        <f>IFERROR(VLOOKUP($C31,Sheet5!$C:$K,COLUMN(Sheet5!E$2)-2,0),"")</f>
        <v>0.164948453608247</v>
      </c>
      <c r="R31" s="74">
        <f>IFERROR(VLOOKUP($C31,Sheet5!$C:$K,COLUMN(Sheet5!F$2)-2,0),"")</f>
        <v>0.17886178861788601</v>
      </c>
      <c r="S31" s="74">
        <f>IFERROR(VLOOKUP($C31,Sheet5!$C:$K,COLUMN(Sheet5!G$2)-2,0),"")</f>
        <v>0.55555555555555602</v>
      </c>
      <c r="T31" s="74">
        <f>IFERROR(VLOOKUP($C31,Sheet5!$C:$K,COLUMN(Sheet5!H$2)-2,0),"")</f>
        <v>0.23711340206185599</v>
      </c>
      <c r="U31" s="78">
        <f>IFERROR(VLOOKUP($C31,Sheet5!$C:$K,COLUMN(Sheet5!I$2)-2,0),"")</f>
        <v>0.44444444444444398</v>
      </c>
      <c r="V31" s="107">
        <v>439</v>
      </c>
      <c r="W31" s="108">
        <v>167</v>
      </c>
      <c r="X31" s="109">
        <f t="shared" si="0"/>
        <v>-272</v>
      </c>
    </row>
    <row r="32" spans="2:24" x14ac:dyDescent="0.2">
      <c r="B32" s="184">
        <v>23</v>
      </c>
      <c r="C32" s="182" t="str">
        <f>VLOOKUP($B32,'4'!$A$56:$AK$79,COLUMN('4'!Z$1),0)</f>
        <v>根河乐买家</v>
      </c>
      <c r="D32" s="47" t="str">
        <f>VLOOKUP(C32,'4'!AL:AM,2,0)</f>
        <v>呼盟外埠所</v>
      </c>
      <c r="E32" s="107">
        <f>VLOOKUP($B32,'4'!$A$56:$AK$79,COLUMN('4'!AA$1),0)</f>
        <v>201</v>
      </c>
      <c r="F32" s="108">
        <f>VLOOKUP($B32,'4'!$A$56:$AK$79,COLUMN('4'!AB$1),0)</f>
        <v>332</v>
      </c>
      <c r="G32" s="109">
        <f>VLOOKUP($B32,'4'!$A$56:$AK$79,COLUMN('4'!AC$1),0)</f>
        <v>280</v>
      </c>
      <c r="H32" s="48">
        <f>VLOOKUP($B32,'4'!$A$56:$AK$79,COLUMN('4'!AD$1),0)</f>
        <v>-0.31399317406143334</v>
      </c>
      <c r="I32" s="49">
        <f>VLOOKUP($B32,'4'!$A$56:$AK$79,COLUMN('4'!AE$1),0)</f>
        <v>0.12542372881355934</v>
      </c>
      <c r="J32" s="50">
        <f>VLOOKUP($B32,'4'!$A$56:$AK$79,COLUMN('4'!AF$1),0)</f>
        <v>-0.37219730941704032</v>
      </c>
      <c r="K32" s="107">
        <f>VLOOKUP($B32,'4'!$A$56:$AK$79,COLUMN('4'!AG$1),0)</f>
        <v>325</v>
      </c>
      <c r="L32" s="108">
        <f>VLOOKUP($B32,'4'!$A$56:$AK$79,COLUMN('4'!AH$1),0)</f>
        <v>576</v>
      </c>
      <c r="M32" s="49">
        <f>VLOOKUP($B32,'4'!$A$56:$AK$79,COLUMN('4'!AI$1),0)</f>
        <v>-0.43576388888888884</v>
      </c>
      <c r="N32" s="108">
        <f>VLOOKUP($B32,'4'!$A$56:$AK$79,COLUMN('4'!AJ$1),0)</f>
        <v>325</v>
      </c>
      <c r="O32" s="50">
        <f>VLOOKUP($B32,'4'!$A$56:$AK$79,COLUMN('4'!AK$1),0)</f>
        <v>1</v>
      </c>
      <c r="P32" s="79">
        <f>IFERROR(VLOOKUP($C32,Sheet5!$C:$K,COLUMN(Sheet5!D$2)-2,0),"")</f>
        <v>0.93589743589743601</v>
      </c>
      <c r="Q32" s="145">
        <f>IFERROR(VLOOKUP($C32,Sheet5!$C:$K,COLUMN(Sheet5!E$2)-2,0),"")</f>
        <v>0.67619047619047601</v>
      </c>
      <c r="R32" s="74">
        <f>IFERROR(VLOOKUP($C32,Sheet5!$C:$K,COLUMN(Sheet5!F$2)-2,0),"")</f>
        <v>0.71428571428571397</v>
      </c>
      <c r="S32" s="74">
        <f>IFERROR(VLOOKUP($C32,Sheet5!$C:$K,COLUMN(Sheet5!G$2)-2,0),"")</f>
        <v>1</v>
      </c>
      <c r="T32" s="74">
        <f>IFERROR(VLOOKUP($C32,Sheet5!$C:$K,COLUMN(Sheet5!H$2)-2,0),"")</f>
        <v>0.67619047619047601</v>
      </c>
      <c r="U32" s="78">
        <f>IFERROR(VLOOKUP($C32,Sheet5!$C:$K,COLUMN(Sheet5!I$2)-2,0),"")</f>
        <v>0.9</v>
      </c>
      <c r="V32" s="107">
        <v>321</v>
      </c>
      <c r="W32" s="108">
        <v>551</v>
      </c>
      <c r="X32" s="109">
        <f t="shared" si="0"/>
        <v>230</v>
      </c>
    </row>
    <row r="33" spans="2:24" x14ac:dyDescent="0.2">
      <c r="B33" s="185">
        <v>24</v>
      </c>
      <c r="C33" s="183" t="str">
        <f>VLOOKUP($B33,'4'!$A$56:$AK$79,COLUMN('4'!Z$1),0)</f>
        <v>海拉鑫福达</v>
      </c>
      <c r="D33" s="52" t="str">
        <f>VLOOKUP(C33,'4'!AL:AM,2,0)</f>
        <v>海拉尔城区所</v>
      </c>
      <c r="E33" s="110">
        <f>VLOOKUP($B33,'4'!$A$56:$AK$79,COLUMN('4'!AA$1),0)</f>
        <v>150</v>
      </c>
      <c r="F33" s="111">
        <f>VLOOKUP($B33,'4'!$A$56:$AK$79,COLUMN('4'!AB$1),0)</f>
        <v>288</v>
      </c>
      <c r="G33" s="112">
        <f>VLOOKUP($B33,'4'!$A$56:$AK$79,COLUMN('4'!AC$1),0)</f>
        <v>173</v>
      </c>
      <c r="H33" s="53">
        <f>VLOOKUP($B33,'4'!$A$56:$AK$79,COLUMN('4'!AD$1),0)</f>
        <v>-3.8461538461538547E-2</v>
      </c>
      <c r="I33" s="54">
        <f>VLOOKUP($B33,'4'!$A$56:$AK$79,COLUMN('4'!AE$1),0)</f>
        <v>0.81132075471698095</v>
      </c>
      <c r="J33" s="55">
        <f>VLOOKUP($B33,'4'!$A$56:$AK$79,COLUMN('4'!AF$1),0)</f>
        <v>1.6212121212121211</v>
      </c>
      <c r="K33" s="110">
        <f>VLOOKUP($B33,'4'!$A$56:$AK$79,COLUMN('4'!AG$1),0)</f>
        <v>231.25</v>
      </c>
      <c r="L33" s="111">
        <f>VLOOKUP($B33,'4'!$A$56:$AK$79,COLUMN('4'!AH$1),0)</f>
        <v>441</v>
      </c>
      <c r="M33" s="54">
        <f>VLOOKUP($B33,'4'!$A$56:$AK$79,COLUMN('4'!AI$1),0)</f>
        <v>-0.4756235827664399</v>
      </c>
      <c r="N33" s="111">
        <f>VLOOKUP($B33,'4'!$A$56:$AK$79,COLUMN('4'!AJ$1),0)</f>
        <v>231.25</v>
      </c>
      <c r="O33" s="55">
        <f>VLOOKUP($B33,'4'!$A$56:$AK$79,COLUMN('4'!AK$1),0)</f>
        <v>1</v>
      </c>
      <c r="P33" s="83">
        <f>IFERROR(VLOOKUP($C33,Sheet5!$C:$K,COLUMN(Sheet5!D$2)-2,0),"")</f>
        <v>0.98578199052132698</v>
      </c>
      <c r="Q33" s="146">
        <f>IFERROR(VLOOKUP($C33,Sheet5!$C:$K,COLUMN(Sheet5!E$2)-2,0),"")</f>
        <v>8.83280757097792E-2</v>
      </c>
      <c r="R33" s="80">
        <f>IFERROR(VLOOKUP($C33,Sheet5!$C:$K,COLUMN(Sheet5!F$2)-2,0),"")</f>
        <v>0.25925925925925897</v>
      </c>
      <c r="S33" s="80">
        <f>IFERROR(VLOOKUP($C33,Sheet5!$C:$K,COLUMN(Sheet5!G$2)-2,0),"")</f>
        <v>0.46031746031746001</v>
      </c>
      <c r="T33" s="80">
        <f>IFERROR(VLOOKUP($C33,Sheet5!$C:$K,COLUMN(Sheet5!H$2)-2,0),"")</f>
        <v>0.20192307692307701</v>
      </c>
      <c r="U33" s="81">
        <f>IFERROR(VLOOKUP($C33,Sheet5!$C:$K,COLUMN(Sheet5!I$2)-2,0),"")</f>
        <v>0.39655172413793105</v>
      </c>
      <c r="V33" s="110">
        <v>145</v>
      </c>
      <c r="W33" s="111">
        <v>145</v>
      </c>
      <c r="X33" s="112">
        <f t="shared" si="0"/>
        <v>0</v>
      </c>
    </row>
  </sheetData>
  <mergeCells count="8">
    <mergeCell ref="V2:X2"/>
    <mergeCell ref="K2:O2"/>
    <mergeCell ref="P2:U2"/>
    <mergeCell ref="B4:C4"/>
    <mergeCell ref="B2:B3"/>
    <mergeCell ref="E2:G2"/>
    <mergeCell ref="H2:J2"/>
    <mergeCell ref="C2:D2"/>
  </mergeCells>
  <phoneticPr fontId="19" type="noConversion"/>
  <conditionalFormatting sqref="H4:J33">
    <cfRule type="cellIs" dxfId="20" priority="7" operator="lessThan">
      <formula>0</formula>
    </cfRule>
  </conditionalFormatting>
  <conditionalFormatting sqref="M1:M1048576">
    <cfRule type="cellIs" dxfId="19" priority="3" operator="lessThan">
      <formula>0</formula>
    </cfRule>
  </conditionalFormatting>
  <conditionalFormatting sqref="X29:X33">
    <cfRule type="cellIs" dxfId="4" priority="1" operator="greaterThan">
      <formula>$Y$37</formula>
    </cfRule>
    <cfRule type="cellIs" dxfId="5" priority="2" operator="lessThan">
      <formula>0</formula>
    </cfRule>
  </conditionalFormatting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42"/>
  <sheetViews>
    <sheetView showGridLines="0" tabSelected="1" workbookViewId="0">
      <selection activeCell="M53" sqref="M53"/>
    </sheetView>
  </sheetViews>
  <sheetFormatPr defaultRowHeight="16.5" outlineLevelCol="1" x14ac:dyDescent="0.2"/>
  <cols>
    <col min="1" max="1" width="9" style="9"/>
    <col min="2" max="2" width="5.625" style="9" customWidth="1"/>
    <col min="3" max="4" width="12.625" style="9" customWidth="1"/>
    <col min="5" max="7" width="0" style="9" hidden="1" customWidth="1" outlineLevel="1"/>
    <col min="8" max="8" width="9" style="9" collapsed="1"/>
    <col min="9" max="16384" width="9" style="9"/>
  </cols>
  <sheetData>
    <row r="2" spans="2:24" ht="14.25" customHeight="1" x14ac:dyDescent="0.2">
      <c r="B2" s="195" t="s">
        <v>175</v>
      </c>
      <c r="C2" s="193" t="s">
        <v>201</v>
      </c>
      <c r="D2" s="194"/>
      <c r="E2" s="186" t="s">
        <v>176</v>
      </c>
      <c r="F2" s="187"/>
      <c r="G2" s="188"/>
      <c r="H2" s="186" t="s">
        <v>177</v>
      </c>
      <c r="I2" s="187"/>
      <c r="J2" s="188"/>
      <c r="K2" s="186">
        <f>Sheet3!K2</f>
        <v>2505</v>
      </c>
      <c r="L2" s="187"/>
      <c r="M2" s="187"/>
      <c r="N2" s="187"/>
      <c r="O2" s="188"/>
      <c r="P2" s="186" t="s">
        <v>178</v>
      </c>
      <c r="Q2" s="187"/>
      <c r="R2" s="187"/>
      <c r="S2" s="187"/>
      <c r="T2" s="187"/>
      <c r="U2" s="188"/>
      <c r="V2" s="186" t="s">
        <v>225</v>
      </c>
      <c r="W2" s="187"/>
      <c r="X2" s="188"/>
    </row>
    <row r="3" spans="2:24" x14ac:dyDescent="0.2">
      <c r="B3" s="196"/>
      <c r="C3" s="20" t="s">
        <v>198</v>
      </c>
      <c r="D3" s="22" t="s">
        <v>199</v>
      </c>
      <c r="E3" s="20">
        <f>Sheet3!E3</f>
        <v>2502</v>
      </c>
      <c r="F3" s="21">
        <f>Sheet3!F3</f>
        <v>2503</v>
      </c>
      <c r="G3" s="22">
        <f>Sheet3!G3</f>
        <v>2504</v>
      </c>
      <c r="H3" s="20">
        <f>Sheet3!H3</f>
        <v>2502</v>
      </c>
      <c r="I3" s="21">
        <f>Sheet3!I3</f>
        <v>2503</v>
      </c>
      <c r="J3" s="22">
        <f>Sheet3!J3</f>
        <v>2504</v>
      </c>
      <c r="K3" s="20" t="s">
        <v>176</v>
      </c>
      <c r="L3" s="21" t="s">
        <v>179</v>
      </c>
      <c r="M3" s="21" t="s">
        <v>177</v>
      </c>
      <c r="N3" s="21" t="s">
        <v>180</v>
      </c>
      <c r="O3" s="22" t="s">
        <v>181</v>
      </c>
      <c r="P3" s="20" t="s">
        <v>194</v>
      </c>
      <c r="Q3" s="133" t="s">
        <v>37</v>
      </c>
      <c r="R3" s="21" t="s">
        <v>38</v>
      </c>
      <c r="S3" s="21" t="s">
        <v>39</v>
      </c>
      <c r="T3" s="21" t="s">
        <v>40</v>
      </c>
      <c r="U3" s="22" t="s">
        <v>41</v>
      </c>
      <c r="V3" s="20" t="s">
        <v>226</v>
      </c>
      <c r="W3" s="21" t="s">
        <v>227</v>
      </c>
      <c r="X3" s="22" t="s">
        <v>228</v>
      </c>
    </row>
    <row r="4" spans="2:24" ht="14.25" hidden="1" customHeight="1" x14ac:dyDescent="0.2">
      <c r="B4" s="189" t="s">
        <v>26</v>
      </c>
      <c r="C4" s="190"/>
      <c r="D4" s="150"/>
      <c r="E4" s="92">
        <f>基础表!E32</f>
        <v>7305</v>
      </c>
      <c r="F4" s="93">
        <f>基础表!F32</f>
        <v>6817</v>
      </c>
      <c r="G4" s="94">
        <f>基础表!G32</f>
        <v>5102</v>
      </c>
      <c r="H4" s="23">
        <f>基础表!H32</f>
        <v>4.0916530278232408E-4</v>
      </c>
      <c r="I4" s="24">
        <f>基础表!I32</f>
        <v>-0.14776847105888236</v>
      </c>
      <c r="J4" s="25">
        <f>基础表!J32</f>
        <v>-0.1475355054302423</v>
      </c>
      <c r="K4" s="92" t="e">
        <f>基础表!K32</f>
        <v>#REF!</v>
      </c>
      <c r="L4" s="93" t="e">
        <f>基础表!L32</f>
        <v>#REF!</v>
      </c>
      <c r="M4" s="24" t="e">
        <f>基础表!M32</f>
        <v>#REF!</v>
      </c>
      <c r="N4" s="93" t="e">
        <f>基础表!N32</f>
        <v>#REF!</v>
      </c>
      <c r="O4" s="25" t="e">
        <f>基础表!O32</f>
        <v>#REF!</v>
      </c>
      <c r="P4" s="23" t="e">
        <f>基础表!P32</f>
        <v>#REF!</v>
      </c>
      <c r="Q4" s="134" t="e">
        <f>基础表!Q32</f>
        <v>#REF!</v>
      </c>
      <c r="R4" s="24" t="e">
        <f>基础表!R32</f>
        <v>#REF!</v>
      </c>
      <c r="S4" s="24" t="e">
        <f>基础表!S32</f>
        <v>#REF!</v>
      </c>
      <c r="T4" s="24" t="e">
        <f>基础表!T32</f>
        <v>#REF!</v>
      </c>
      <c r="U4" s="25" t="e">
        <f>基础表!U32</f>
        <v>#REF!</v>
      </c>
    </row>
    <row r="5" spans="2:24" hidden="1" x14ac:dyDescent="0.2">
      <c r="B5" s="26">
        <v>1</v>
      </c>
      <c r="C5" s="27" t="e">
        <f>VLOOKUP($B5,基础表!$A$26:$U$31,COLUMN(基础表!D1),0)</f>
        <v>#N/A</v>
      </c>
      <c r="D5" s="151"/>
      <c r="E5" s="95" t="e">
        <f>VLOOKUP($B5,基础表!$A$26:$U$31,COLUMN(基础表!E1),0)</f>
        <v>#N/A</v>
      </c>
      <c r="F5" s="96" t="e">
        <f>VLOOKUP($B5,基础表!$A$26:$U$31,COLUMN(基础表!F1),0)</f>
        <v>#N/A</v>
      </c>
      <c r="G5" s="97" t="e">
        <f>VLOOKUP($B5,基础表!$A$26:$U$31,COLUMN(基础表!G1),0)</f>
        <v>#N/A</v>
      </c>
      <c r="H5" s="28" t="e">
        <f>VLOOKUP($B5,基础表!$A$26:$U$31,COLUMN(基础表!H1),0)</f>
        <v>#N/A</v>
      </c>
      <c r="I5" s="29" t="e">
        <f>VLOOKUP($B5,基础表!$A$26:$U$31,COLUMN(基础表!I1),0)</f>
        <v>#N/A</v>
      </c>
      <c r="J5" s="30" t="e">
        <f>VLOOKUP($B5,基础表!$A$26:$U$31,COLUMN(基础表!J1),0)</f>
        <v>#N/A</v>
      </c>
      <c r="K5" s="95" t="e">
        <f>VLOOKUP($B5,基础表!$A$26:$U$31,COLUMN(基础表!K1),0)</f>
        <v>#N/A</v>
      </c>
      <c r="L5" s="113" t="e">
        <f>VLOOKUP($B5,基础表!$A$26:$U$31,COLUMN(基础表!L1),0)</f>
        <v>#N/A</v>
      </c>
      <c r="M5" s="29" t="e">
        <f>VLOOKUP($B5,基础表!$A$26:$U$31,COLUMN(基础表!M1),0)</f>
        <v>#N/A</v>
      </c>
      <c r="N5" s="113" t="e">
        <f>VLOOKUP($B5,基础表!$A$26:$U$31,COLUMN(基础表!N1),0)</f>
        <v>#N/A</v>
      </c>
      <c r="O5" s="68" t="e">
        <f>VLOOKUP($B5,基础表!$A$26:$U$31,COLUMN(基础表!O1),0)</f>
        <v>#N/A</v>
      </c>
      <c r="P5" s="28" t="e">
        <f>VLOOKUP($B5,基础表!$A$26:$U$31,COLUMN(基础表!P1),0)</f>
        <v>#N/A</v>
      </c>
      <c r="Q5" s="135" t="e">
        <f>VLOOKUP($B5,基础表!$A$26:$U$31,COLUMN(基础表!Q1),0)</f>
        <v>#N/A</v>
      </c>
      <c r="R5" s="29" t="e">
        <f>VLOOKUP($B5,基础表!$A$26:$U$31,COLUMN(基础表!R1),0)</f>
        <v>#N/A</v>
      </c>
      <c r="S5" s="29" t="e">
        <f>VLOOKUP($B5,基础表!$A$26:$U$31,COLUMN(基础表!S1),0)</f>
        <v>#N/A</v>
      </c>
      <c r="T5" s="29" t="e">
        <f>VLOOKUP($B5,基础表!$A$26:$U$31,COLUMN(基础表!T1),0)</f>
        <v>#N/A</v>
      </c>
      <c r="U5" s="30" t="e">
        <f>VLOOKUP($B5,基础表!$A$26:$U$31,COLUMN(基础表!U1),0)</f>
        <v>#N/A</v>
      </c>
    </row>
    <row r="6" spans="2:24" hidden="1" x14ac:dyDescent="0.2">
      <c r="B6" s="31">
        <v>2</v>
      </c>
      <c r="C6" s="32" t="e">
        <f>VLOOKUP($B6,基础表!$A$26:$U$31,COLUMN(基础表!D2),0)</f>
        <v>#N/A</v>
      </c>
      <c r="D6" s="152"/>
      <c r="E6" s="98" t="e">
        <f>VLOOKUP($B6,基础表!$A$26:$U$31,COLUMN(基础表!E2),0)</f>
        <v>#N/A</v>
      </c>
      <c r="F6" s="99" t="e">
        <f>VLOOKUP($B6,基础表!$A$26:$U$31,COLUMN(基础表!F2),0)</f>
        <v>#N/A</v>
      </c>
      <c r="G6" s="100" t="e">
        <f>VLOOKUP($B6,基础表!$A$26:$U$31,COLUMN(基础表!G2),0)</f>
        <v>#N/A</v>
      </c>
      <c r="H6" s="33" t="e">
        <f>VLOOKUP($B6,基础表!$A$26:$U$31,COLUMN(基础表!H2),0)</f>
        <v>#N/A</v>
      </c>
      <c r="I6" s="34" t="e">
        <f>VLOOKUP($B6,基础表!$A$26:$U$31,COLUMN(基础表!I2),0)</f>
        <v>#N/A</v>
      </c>
      <c r="J6" s="35" t="e">
        <f>VLOOKUP($B6,基础表!$A$26:$U$31,COLUMN(基础表!J2),0)</f>
        <v>#N/A</v>
      </c>
      <c r="K6" s="98" t="e">
        <f>VLOOKUP($B6,基础表!$A$26:$U$31,COLUMN(基础表!K2),0)</f>
        <v>#N/A</v>
      </c>
      <c r="L6" s="114" t="e">
        <f>VLOOKUP($B6,基础表!$A$26:$U$31,COLUMN(基础表!L2),0)</f>
        <v>#N/A</v>
      </c>
      <c r="M6" s="34" t="e">
        <f>VLOOKUP($B6,基础表!$A$26:$U$31,COLUMN(基础表!M2),0)</f>
        <v>#N/A</v>
      </c>
      <c r="N6" s="114" t="e">
        <f>VLOOKUP($B6,基础表!$A$26:$U$31,COLUMN(基础表!N2),0)</f>
        <v>#N/A</v>
      </c>
      <c r="O6" s="69" t="e">
        <f>VLOOKUP($B6,基础表!$A$26:$U$31,COLUMN(基础表!O2),0)</f>
        <v>#N/A</v>
      </c>
      <c r="P6" s="33" t="e">
        <f>VLOOKUP($B6,基础表!$A$26:$U$31,COLUMN(基础表!P2),0)</f>
        <v>#N/A</v>
      </c>
      <c r="Q6" s="136" t="e">
        <f>VLOOKUP($B6,基础表!$A$26:$U$31,COLUMN(基础表!Q2),0)</f>
        <v>#N/A</v>
      </c>
      <c r="R6" s="34" t="e">
        <f>VLOOKUP($B6,基础表!$A$26:$U$31,COLUMN(基础表!R2),0)</f>
        <v>#N/A</v>
      </c>
      <c r="S6" s="34" t="e">
        <f>VLOOKUP($B6,基础表!$A$26:$U$31,COLUMN(基础表!S2),0)</f>
        <v>#N/A</v>
      </c>
      <c r="T6" s="34" t="e">
        <f>VLOOKUP($B6,基础表!$A$26:$U$31,COLUMN(基础表!T2),0)</f>
        <v>#N/A</v>
      </c>
      <c r="U6" s="35" t="e">
        <f>VLOOKUP($B6,基础表!$A$26:$U$31,COLUMN(基础表!U2),0)</f>
        <v>#N/A</v>
      </c>
    </row>
    <row r="7" spans="2:24" hidden="1" x14ac:dyDescent="0.2">
      <c r="B7" s="31">
        <v>3</v>
      </c>
      <c r="C7" s="32" t="e">
        <f>VLOOKUP($B7,基础表!$A$26:$U$31,COLUMN(基础表!D3),0)</f>
        <v>#N/A</v>
      </c>
      <c r="D7" s="152"/>
      <c r="E7" s="98" t="e">
        <f>VLOOKUP($B7,基础表!$A$26:$U$31,COLUMN(基础表!E3),0)</f>
        <v>#N/A</v>
      </c>
      <c r="F7" s="99" t="e">
        <f>VLOOKUP($B7,基础表!$A$26:$U$31,COLUMN(基础表!F3),0)</f>
        <v>#N/A</v>
      </c>
      <c r="G7" s="100" t="e">
        <f>VLOOKUP($B7,基础表!$A$26:$U$31,COLUMN(基础表!G3),0)</f>
        <v>#N/A</v>
      </c>
      <c r="H7" s="33" t="e">
        <f>VLOOKUP($B7,基础表!$A$26:$U$31,COLUMN(基础表!H3),0)</f>
        <v>#N/A</v>
      </c>
      <c r="I7" s="34" t="e">
        <f>VLOOKUP($B7,基础表!$A$26:$U$31,COLUMN(基础表!I3),0)</f>
        <v>#N/A</v>
      </c>
      <c r="J7" s="35" t="e">
        <f>VLOOKUP($B7,基础表!$A$26:$U$31,COLUMN(基础表!J3),0)</f>
        <v>#N/A</v>
      </c>
      <c r="K7" s="98" t="e">
        <f>VLOOKUP($B7,基础表!$A$26:$U$31,COLUMN(基础表!K3),0)</f>
        <v>#N/A</v>
      </c>
      <c r="L7" s="114" t="e">
        <f>VLOOKUP($B7,基础表!$A$26:$U$31,COLUMN(基础表!L3),0)</f>
        <v>#N/A</v>
      </c>
      <c r="M7" s="34" t="e">
        <f>VLOOKUP($B7,基础表!$A$26:$U$31,COLUMN(基础表!M3),0)</f>
        <v>#N/A</v>
      </c>
      <c r="N7" s="114" t="e">
        <f>VLOOKUP($B7,基础表!$A$26:$U$31,COLUMN(基础表!N3),0)</f>
        <v>#N/A</v>
      </c>
      <c r="O7" s="69" t="e">
        <f>VLOOKUP($B7,基础表!$A$26:$U$31,COLUMN(基础表!O3),0)</f>
        <v>#N/A</v>
      </c>
      <c r="P7" s="33" t="e">
        <f>VLOOKUP($B7,基础表!$A$26:$U$31,COLUMN(基础表!P3),0)</f>
        <v>#N/A</v>
      </c>
      <c r="Q7" s="136" t="e">
        <f>VLOOKUP($B7,基础表!$A$26:$U$31,COLUMN(基础表!Q3),0)</f>
        <v>#N/A</v>
      </c>
      <c r="R7" s="34" t="e">
        <f>VLOOKUP($B7,基础表!$A$26:$U$31,COLUMN(基础表!R3),0)</f>
        <v>#N/A</v>
      </c>
      <c r="S7" s="34" t="e">
        <f>VLOOKUP($B7,基础表!$A$26:$U$31,COLUMN(基础表!S3),0)</f>
        <v>#N/A</v>
      </c>
      <c r="T7" s="34" t="e">
        <f>VLOOKUP($B7,基础表!$A$26:$U$31,COLUMN(基础表!T3),0)</f>
        <v>#N/A</v>
      </c>
      <c r="U7" s="35" t="e">
        <f>VLOOKUP($B7,基础表!$A$26:$U$31,COLUMN(基础表!U3),0)</f>
        <v>#N/A</v>
      </c>
    </row>
    <row r="8" spans="2:24" hidden="1" x14ac:dyDescent="0.2">
      <c r="B8" s="31">
        <v>4</v>
      </c>
      <c r="C8" s="32" t="e">
        <f>VLOOKUP($B8,基础表!$A$26:$U$31,COLUMN(基础表!D4),0)</f>
        <v>#N/A</v>
      </c>
      <c r="D8" s="152"/>
      <c r="E8" s="98" t="e">
        <f>VLOOKUP($B8,基础表!$A$26:$U$31,COLUMN(基础表!E4),0)</f>
        <v>#N/A</v>
      </c>
      <c r="F8" s="99" t="e">
        <f>VLOOKUP($B8,基础表!$A$26:$U$31,COLUMN(基础表!F4),0)</f>
        <v>#N/A</v>
      </c>
      <c r="G8" s="100" t="e">
        <f>VLOOKUP($B8,基础表!$A$26:$U$31,COLUMN(基础表!G4),0)</f>
        <v>#N/A</v>
      </c>
      <c r="H8" s="33" t="e">
        <f>VLOOKUP($B8,基础表!$A$26:$U$31,COLUMN(基础表!H4),0)</f>
        <v>#N/A</v>
      </c>
      <c r="I8" s="34" t="e">
        <f>VLOOKUP($B8,基础表!$A$26:$U$31,COLUMN(基础表!I4),0)</f>
        <v>#N/A</v>
      </c>
      <c r="J8" s="35" t="e">
        <f>VLOOKUP($B8,基础表!$A$26:$U$31,COLUMN(基础表!J4),0)</f>
        <v>#N/A</v>
      </c>
      <c r="K8" s="98" t="e">
        <f>VLOOKUP($B8,基础表!$A$26:$U$31,COLUMN(基础表!K4),0)</f>
        <v>#N/A</v>
      </c>
      <c r="L8" s="114" t="e">
        <f>VLOOKUP($B8,基础表!$A$26:$U$31,COLUMN(基础表!L4),0)</f>
        <v>#N/A</v>
      </c>
      <c r="M8" s="34" t="e">
        <f>VLOOKUP($B8,基础表!$A$26:$U$31,COLUMN(基础表!M4),0)</f>
        <v>#N/A</v>
      </c>
      <c r="N8" s="114" t="e">
        <f>VLOOKUP($B8,基础表!$A$26:$U$31,COLUMN(基础表!N4),0)</f>
        <v>#N/A</v>
      </c>
      <c r="O8" s="69" t="e">
        <f>VLOOKUP($B8,基础表!$A$26:$U$31,COLUMN(基础表!O4),0)</f>
        <v>#N/A</v>
      </c>
      <c r="P8" s="33" t="e">
        <f>VLOOKUP($B8,基础表!$A$26:$U$31,COLUMN(基础表!P4),0)</f>
        <v>#N/A</v>
      </c>
      <c r="Q8" s="136" t="e">
        <f>VLOOKUP($B8,基础表!$A$26:$U$31,COLUMN(基础表!Q4),0)</f>
        <v>#N/A</v>
      </c>
      <c r="R8" s="34" t="e">
        <f>VLOOKUP($B8,基础表!$A$26:$U$31,COLUMN(基础表!R4),0)</f>
        <v>#N/A</v>
      </c>
      <c r="S8" s="34" t="e">
        <f>VLOOKUP($B8,基础表!$A$26:$U$31,COLUMN(基础表!S4),0)</f>
        <v>#N/A</v>
      </c>
      <c r="T8" s="34" t="e">
        <f>VLOOKUP($B8,基础表!$A$26:$U$31,COLUMN(基础表!T4),0)</f>
        <v>#N/A</v>
      </c>
      <c r="U8" s="35" t="e">
        <f>VLOOKUP($B8,基础表!$A$26:$U$31,COLUMN(基础表!U4),0)</f>
        <v>#N/A</v>
      </c>
    </row>
    <row r="9" spans="2:24" hidden="1" x14ac:dyDescent="0.2">
      <c r="B9" s="31">
        <v>5</v>
      </c>
      <c r="C9" s="32" t="e">
        <f>VLOOKUP($B9,基础表!$A$26:$U$31,COLUMN(基础表!D5),0)</f>
        <v>#N/A</v>
      </c>
      <c r="D9" s="152"/>
      <c r="E9" s="98" t="e">
        <f>VLOOKUP($B9,基础表!$A$26:$U$31,COLUMN(基础表!E5),0)</f>
        <v>#N/A</v>
      </c>
      <c r="F9" s="99" t="e">
        <f>VLOOKUP($B9,基础表!$A$26:$U$31,COLUMN(基础表!F5),0)</f>
        <v>#N/A</v>
      </c>
      <c r="G9" s="100" t="e">
        <f>VLOOKUP($B9,基础表!$A$26:$U$31,COLUMN(基础表!G5),0)</f>
        <v>#N/A</v>
      </c>
      <c r="H9" s="33" t="e">
        <f>VLOOKUP($B9,基础表!$A$26:$U$31,COLUMN(基础表!H5),0)</f>
        <v>#N/A</v>
      </c>
      <c r="I9" s="34" t="e">
        <f>VLOOKUP($B9,基础表!$A$26:$U$31,COLUMN(基础表!I5),0)</f>
        <v>#N/A</v>
      </c>
      <c r="J9" s="35" t="e">
        <f>VLOOKUP($B9,基础表!$A$26:$U$31,COLUMN(基础表!J5),0)</f>
        <v>#N/A</v>
      </c>
      <c r="K9" s="98" t="e">
        <f>VLOOKUP($B9,基础表!$A$26:$U$31,COLUMN(基础表!K5),0)</f>
        <v>#N/A</v>
      </c>
      <c r="L9" s="114" t="e">
        <f>VLOOKUP($B9,基础表!$A$26:$U$31,COLUMN(基础表!L5),0)</f>
        <v>#N/A</v>
      </c>
      <c r="M9" s="34" t="e">
        <f>VLOOKUP($B9,基础表!$A$26:$U$31,COLUMN(基础表!M5),0)</f>
        <v>#N/A</v>
      </c>
      <c r="N9" s="114" t="e">
        <f>VLOOKUP($B9,基础表!$A$26:$U$31,COLUMN(基础表!N5),0)</f>
        <v>#N/A</v>
      </c>
      <c r="O9" s="69" t="e">
        <f>VLOOKUP($B9,基础表!$A$26:$U$31,COLUMN(基础表!O5),0)</f>
        <v>#N/A</v>
      </c>
      <c r="P9" s="33" t="e">
        <f>VLOOKUP($B9,基础表!$A$26:$U$31,COLUMN(基础表!P5),0)</f>
        <v>#N/A</v>
      </c>
      <c r="Q9" s="136" t="e">
        <f>VLOOKUP($B9,基础表!$A$26:$U$31,COLUMN(基础表!Q5),0)</f>
        <v>#N/A</v>
      </c>
      <c r="R9" s="34" t="e">
        <f>VLOOKUP($B9,基础表!$A$26:$U$31,COLUMN(基础表!R5),0)</f>
        <v>#N/A</v>
      </c>
      <c r="S9" s="34" t="e">
        <f>VLOOKUP($B9,基础表!$A$26:$U$31,COLUMN(基础表!S5),0)</f>
        <v>#N/A</v>
      </c>
      <c r="T9" s="34" t="e">
        <f>VLOOKUP($B9,基础表!$A$26:$U$31,COLUMN(基础表!T5),0)</f>
        <v>#N/A</v>
      </c>
      <c r="U9" s="35" t="e">
        <f>VLOOKUP($B9,基础表!$A$26:$U$31,COLUMN(基础表!U5),0)</f>
        <v>#N/A</v>
      </c>
    </row>
    <row r="10" spans="2:24" hidden="1" x14ac:dyDescent="0.2">
      <c r="B10" s="36">
        <v>6</v>
      </c>
      <c r="C10" s="37" t="e">
        <f>VLOOKUP($B10,基础表!$A$26:$U$31,COLUMN(基础表!D6),0)</f>
        <v>#N/A</v>
      </c>
      <c r="D10" s="153"/>
      <c r="E10" s="101" t="e">
        <f>VLOOKUP($B10,基础表!$A$26:$U$31,COLUMN(基础表!E6),0)</f>
        <v>#N/A</v>
      </c>
      <c r="F10" s="102" t="e">
        <f>VLOOKUP($B10,基础表!$A$26:$U$31,COLUMN(基础表!F6),0)</f>
        <v>#N/A</v>
      </c>
      <c r="G10" s="103" t="e">
        <f>VLOOKUP($B10,基础表!$A$26:$U$31,COLUMN(基础表!G6),0)</f>
        <v>#N/A</v>
      </c>
      <c r="H10" s="38" t="e">
        <f>VLOOKUP($B10,基础表!$A$26:$U$31,COLUMN(基础表!H6),0)</f>
        <v>#N/A</v>
      </c>
      <c r="I10" s="39" t="e">
        <f>VLOOKUP($B10,基础表!$A$26:$U$31,COLUMN(基础表!I6),0)</f>
        <v>#N/A</v>
      </c>
      <c r="J10" s="40" t="e">
        <f>VLOOKUP($B10,基础表!$A$26:$U$31,COLUMN(基础表!J6),0)</f>
        <v>#N/A</v>
      </c>
      <c r="K10" s="101" t="e">
        <f>VLOOKUP($B10,基础表!$A$26:$U$31,COLUMN(基础表!K6),0)</f>
        <v>#N/A</v>
      </c>
      <c r="L10" s="115" t="e">
        <f>VLOOKUP($B10,基础表!$A$26:$U$31,COLUMN(基础表!L6),0)</f>
        <v>#N/A</v>
      </c>
      <c r="M10" s="39" t="e">
        <f>VLOOKUP($B10,基础表!$A$26:$U$31,COLUMN(基础表!M6),0)</f>
        <v>#N/A</v>
      </c>
      <c r="N10" s="115" t="e">
        <f>VLOOKUP($B10,基础表!$A$26:$U$31,COLUMN(基础表!N6),0)</f>
        <v>#N/A</v>
      </c>
      <c r="O10" s="70" t="e">
        <f>VLOOKUP($B10,基础表!$A$26:$U$31,COLUMN(基础表!O6),0)</f>
        <v>#N/A</v>
      </c>
      <c r="P10" s="38" t="e">
        <f>VLOOKUP($B10,基础表!$A$26:$U$31,COLUMN(基础表!P6),0)</f>
        <v>#N/A</v>
      </c>
      <c r="Q10" s="137" t="e">
        <f>VLOOKUP($B10,基础表!$A$26:$U$31,COLUMN(基础表!Q6),0)</f>
        <v>#N/A</v>
      </c>
      <c r="R10" s="39" t="e">
        <f>VLOOKUP($B10,基础表!$A$26:$U$31,COLUMN(基础表!R6),0)</f>
        <v>#N/A</v>
      </c>
      <c r="S10" s="39" t="e">
        <f>VLOOKUP($B10,基础表!$A$26:$U$31,COLUMN(基础表!S6),0)</f>
        <v>#N/A</v>
      </c>
      <c r="T10" s="39" t="e">
        <f>VLOOKUP($B10,基础表!$A$26:$U$31,COLUMN(基础表!T6),0)</f>
        <v>#N/A</v>
      </c>
      <c r="U10" s="40" t="e">
        <f>VLOOKUP($B10,基础表!$A$26:$U$31,COLUMN(基础表!U6),0)</f>
        <v>#N/A</v>
      </c>
    </row>
    <row r="11" spans="2:24" hidden="1" x14ac:dyDescent="0.2">
      <c r="B11" s="41">
        <v>1</v>
      </c>
      <c r="C11" s="56" t="str">
        <f>VLOOKUP($B11,'4'!$A$80:$AK$111,COLUMN('4'!Z$1),0)</f>
        <v>绥棱于坤</v>
      </c>
      <c r="D11" s="156" t="str">
        <f>VLOOKUP(C11,'4'!AL:AM,2,0)</f>
        <v>伊春外埠所</v>
      </c>
      <c r="E11" s="116">
        <f>VLOOKUP($B11,'4'!$A$80:$AK$111,COLUMN('4'!AA$1),0)</f>
        <v>162</v>
      </c>
      <c r="F11" s="117">
        <f>VLOOKUP($B11,'4'!$A$80:$AK$111,COLUMN('4'!AB$1),0)</f>
        <v>321</v>
      </c>
      <c r="G11" s="118">
        <f>VLOOKUP($B11,'4'!$A$80:$AK$111,COLUMN('4'!AC$1),0)</f>
        <v>200</v>
      </c>
      <c r="H11" s="57">
        <f>VLOOKUP($B11,'4'!$A$80:$AK$111,COLUMN('4'!AD$1),0)</f>
        <v>-0.14736842105263159</v>
      </c>
      <c r="I11" s="58">
        <f>VLOOKUP($B11,'4'!$A$80:$AK$111,COLUMN('4'!AE$1),0)</f>
        <v>5.2459016393442637E-2</v>
      </c>
      <c r="J11" s="59">
        <f>VLOOKUP($B11,'4'!$A$80:$AK$111,COLUMN('4'!AF$1),0)</f>
        <v>-0.15966386554621836</v>
      </c>
      <c r="K11" s="116">
        <f>VLOOKUP($B11,'4'!$A$80:$AK$111,COLUMN('4'!AG$1),0)</f>
        <v>375</v>
      </c>
      <c r="L11" s="117">
        <f>VLOOKUP($B11,'4'!$A$80:$AK$111,COLUMN('4'!AH$1),0)</f>
        <v>215</v>
      </c>
      <c r="M11" s="58">
        <f>VLOOKUP($B11,'4'!$A$80:$AK$111,COLUMN('4'!AI$1),0)</f>
        <v>0.7441860465116279</v>
      </c>
      <c r="N11" s="117">
        <f>VLOOKUP($B11,'4'!$A$80:$AK$111,COLUMN('4'!AJ$1),0)</f>
        <v>375</v>
      </c>
      <c r="O11" s="59">
        <f>VLOOKUP($B11,'4'!$A$80:$AK$111,COLUMN('4'!AK$1),0)</f>
        <v>1</v>
      </c>
      <c r="P11" s="84">
        <f>IFERROR(VLOOKUP($C11,Sheet5!$C:$K,COLUMN(Sheet5!D$2)-2,0),"")</f>
        <v>1</v>
      </c>
      <c r="Q11" s="147">
        <f>IFERROR(VLOOKUP($C11,Sheet5!$C:$K,COLUMN(Sheet5!E$2)-2,0),"")</f>
        <v>0.91124260355029607</v>
      </c>
      <c r="R11" s="85">
        <f>IFERROR(VLOOKUP($C11,Sheet5!$C:$K,COLUMN(Sheet5!F$2)-2,0),"")</f>
        <v>0.99386503067484699</v>
      </c>
      <c r="S11" s="85">
        <f>IFERROR(VLOOKUP($C11,Sheet5!$C:$K,COLUMN(Sheet5!G$2)-2,0),"")</f>
        <v>1</v>
      </c>
      <c r="T11" s="85">
        <f>IFERROR(VLOOKUP($C11,Sheet5!$C:$K,COLUMN(Sheet5!H$2)-2,0),"")</f>
        <v>0.98816568047337294</v>
      </c>
      <c r="U11" s="86">
        <f>IFERROR(VLOOKUP($C11,Sheet5!$C:$K,COLUMN(Sheet5!I$2)-2,0),"")</f>
        <v>1</v>
      </c>
    </row>
    <row r="12" spans="2:24" hidden="1" x14ac:dyDescent="0.2">
      <c r="B12" s="46">
        <v>2</v>
      </c>
      <c r="C12" s="60" t="str">
        <f>VLOOKUP($B12,'4'!$A$80:$AK$111,COLUMN('4'!Z$1),0)</f>
        <v>拜泉卓润</v>
      </c>
      <c r="D12" s="157" t="str">
        <f>VLOOKUP(C12,'4'!AL:AM,2,0)</f>
        <v>海伦外埠所</v>
      </c>
      <c r="E12" s="119">
        <f>VLOOKUP($B12,'4'!$A$80:$AK$111,COLUMN('4'!AA$1),0)</f>
        <v>100</v>
      </c>
      <c r="F12" s="120">
        <f>VLOOKUP($B12,'4'!$A$80:$AK$111,COLUMN('4'!AB$1),0)</f>
        <v>120</v>
      </c>
      <c r="G12" s="121">
        <f>VLOOKUP($B12,'4'!$A$80:$AK$111,COLUMN('4'!AC$1),0)</f>
        <v>440</v>
      </c>
      <c r="H12" s="61">
        <f>VLOOKUP($B12,'4'!$A$80:$AK$111,COLUMN('4'!AD$1),0)</f>
        <v>3.3478260869565224</v>
      </c>
      <c r="I12" s="62">
        <f>VLOOKUP($B12,'4'!$A$80:$AK$111,COLUMN('4'!AE$1),0)</f>
        <v>-4.0000000000000036E-2</v>
      </c>
      <c r="J12" s="63" t="str">
        <f>VLOOKUP($B12,'4'!$A$80:$AK$111,COLUMN('4'!AF$1),0)</f>
        <v/>
      </c>
      <c r="K12" s="119">
        <f>VLOOKUP($B12,'4'!$A$80:$AK$111,COLUMN('4'!AG$1),0)</f>
        <v>150</v>
      </c>
      <c r="L12" s="120">
        <f>VLOOKUP($B12,'4'!$A$80:$AK$111,COLUMN('4'!AH$1),0)</f>
        <v>90</v>
      </c>
      <c r="M12" s="62">
        <f>VLOOKUP($B12,'4'!$A$80:$AK$111,COLUMN('4'!AI$1),0)</f>
        <v>0.66666666666666674</v>
      </c>
      <c r="N12" s="120">
        <f>VLOOKUP($B12,'4'!$A$80:$AK$111,COLUMN('4'!AJ$1),0)</f>
        <v>150</v>
      </c>
      <c r="O12" s="63">
        <f>VLOOKUP($B12,'4'!$A$80:$AK$111,COLUMN('4'!AK$1),0)</f>
        <v>1</v>
      </c>
      <c r="P12" s="87">
        <f>IFERROR(VLOOKUP($C12,Sheet5!$C:$K,COLUMN(Sheet5!D$2)-2,0),"")</f>
        <v>0.79166666666666696</v>
      </c>
      <c r="Q12" s="148">
        <f>IFERROR(VLOOKUP($C12,Sheet5!$C:$K,COLUMN(Sheet5!E$2)-2,0),"")</f>
        <v>0.65100671140939592</v>
      </c>
      <c r="R12" s="88">
        <f>IFERROR(VLOOKUP($C12,Sheet5!$C:$K,COLUMN(Sheet5!F$2)-2,0),"")</f>
        <v>0.58938547486033499</v>
      </c>
      <c r="S12" s="88">
        <f>IFERROR(VLOOKUP($C12,Sheet5!$C:$K,COLUMN(Sheet5!G$2)-2,0),"")</f>
        <v>0.60714285714285698</v>
      </c>
      <c r="T12" s="88">
        <f>IFERROR(VLOOKUP($C12,Sheet5!$C:$K,COLUMN(Sheet5!H$2)-2,0),"")</f>
        <v>0.75838926174496601</v>
      </c>
      <c r="U12" s="75">
        <f>IFERROR(VLOOKUP($C12,Sheet5!$C:$K,COLUMN(Sheet5!I$2)-2,0),"")</f>
        <v>0.78571428571428603</v>
      </c>
    </row>
    <row r="13" spans="2:24" hidden="1" x14ac:dyDescent="0.2">
      <c r="B13" s="46">
        <v>3</v>
      </c>
      <c r="C13" s="60" t="str">
        <f>VLOOKUP($B13,'4'!$A$80:$AK$111,COLUMN('4'!Z$1),0)</f>
        <v>依安杜樽</v>
      </c>
      <c r="D13" s="157" t="str">
        <f>VLOOKUP(C13,'4'!AL:AM,2,0)</f>
        <v>海伦外埠所</v>
      </c>
      <c r="E13" s="119">
        <f>VLOOKUP($B13,'4'!$A$80:$AK$111,COLUMN('4'!AA$1),0)</f>
        <v>118</v>
      </c>
      <c r="F13" s="120">
        <f>VLOOKUP($B13,'4'!$A$80:$AK$111,COLUMN('4'!AB$1),0)</f>
        <v>150</v>
      </c>
      <c r="G13" s="121">
        <f>VLOOKUP($B13,'4'!$A$80:$AK$111,COLUMN('4'!AC$1),0)</f>
        <v>340</v>
      </c>
      <c r="H13" s="61">
        <f>VLOOKUP($B13,'4'!$A$80:$AK$111,COLUMN('4'!AD$1),0)</f>
        <v>-0.18620689655172418</v>
      </c>
      <c r="I13" s="62">
        <f>VLOOKUP($B13,'4'!$A$80:$AK$111,COLUMN('4'!AE$1),0)</f>
        <v>-0.55621301775147935</v>
      </c>
      <c r="J13" s="63">
        <f>VLOOKUP($B13,'4'!$A$80:$AK$111,COLUMN('4'!AF$1),0)</f>
        <v>-0.18660287081339699</v>
      </c>
      <c r="K13" s="119">
        <f>VLOOKUP($B13,'4'!$A$80:$AK$111,COLUMN('4'!AG$1),0)</f>
        <v>450</v>
      </c>
      <c r="L13" s="120">
        <f>VLOOKUP($B13,'4'!$A$80:$AK$111,COLUMN('4'!AH$1),0)</f>
        <v>280</v>
      </c>
      <c r="M13" s="62">
        <f>VLOOKUP($B13,'4'!$A$80:$AK$111,COLUMN('4'!AI$1),0)</f>
        <v>0.60714285714285721</v>
      </c>
      <c r="N13" s="120">
        <f>VLOOKUP($B13,'4'!$A$80:$AK$111,COLUMN('4'!AJ$1),0)</f>
        <v>0</v>
      </c>
      <c r="O13" s="63" t="str">
        <f>VLOOKUP($B13,'4'!$A$80:$AK$111,COLUMN('4'!AK$1),0)</f>
        <v/>
      </c>
      <c r="P13" s="87" t="str">
        <f>IFERROR(VLOOKUP($C13,Sheet5!$C:$K,COLUMN(Sheet5!D$2)-2,0),"")</f>
        <v/>
      </c>
      <c r="Q13" s="148" t="str">
        <f>IFERROR(VLOOKUP($C13,Sheet5!$C:$K,COLUMN(Sheet5!E$2)-2,0),"")</f>
        <v/>
      </c>
      <c r="R13" s="88" t="str">
        <f>IFERROR(VLOOKUP($C13,Sheet5!$C:$K,COLUMN(Sheet5!F$2)-2,0),"")</f>
        <v/>
      </c>
      <c r="S13" s="88" t="str">
        <f>IFERROR(VLOOKUP($C13,Sheet5!$C:$K,COLUMN(Sheet5!G$2)-2,0),"")</f>
        <v/>
      </c>
      <c r="T13" s="88" t="str">
        <f>IFERROR(VLOOKUP($C13,Sheet5!$C:$K,COLUMN(Sheet5!H$2)-2,0),"")</f>
        <v/>
      </c>
      <c r="U13" s="75" t="str">
        <f>IFERROR(VLOOKUP($C13,Sheet5!$C:$K,COLUMN(Sheet5!I$2)-2,0),"")</f>
        <v/>
      </c>
    </row>
    <row r="14" spans="2:24" hidden="1" x14ac:dyDescent="0.2">
      <c r="B14" s="46">
        <v>4</v>
      </c>
      <c r="C14" s="60" t="str">
        <f>VLOOKUP($B14,'4'!$A$80:$AK$111,COLUMN('4'!Z$1),0)</f>
        <v>嘉荫汇丰</v>
      </c>
      <c r="D14" s="157" t="str">
        <f>VLOOKUP(C14,'4'!AL:AM,2,0)</f>
        <v>伊春外埠所</v>
      </c>
      <c r="E14" s="119">
        <f>VLOOKUP($B14,'4'!$A$80:$AK$111,COLUMN('4'!AA$1),0)</f>
        <v>100</v>
      </c>
      <c r="F14" s="120">
        <f>VLOOKUP($B14,'4'!$A$80:$AK$111,COLUMN('4'!AB$1),0)</f>
        <v>80</v>
      </c>
      <c r="G14" s="121">
        <f>VLOOKUP($B14,'4'!$A$80:$AK$111,COLUMN('4'!AC$1),0)</f>
        <v>80</v>
      </c>
      <c r="H14" s="61" t="str">
        <f>VLOOKUP($B14,'4'!$A$80:$AK$111,COLUMN('4'!AD$1),0)</f>
        <v/>
      </c>
      <c r="I14" s="62">
        <f>VLOOKUP($B14,'4'!$A$80:$AK$111,COLUMN('4'!AE$1),0)</f>
        <v>0.25</v>
      </c>
      <c r="J14" s="63" t="str">
        <f>VLOOKUP($B14,'4'!$A$80:$AK$111,COLUMN('4'!AF$1),0)</f>
        <v/>
      </c>
      <c r="K14" s="119">
        <f>VLOOKUP($B14,'4'!$A$80:$AK$111,COLUMN('4'!AG$1),0)</f>
        <v>100</v>
      </c>
      <c r="L14" s="120">
        <f>VLOOKUP($B14,'4'!$A$80:$AK$111,COLUMN('4'!AH$1),0)</f>
        <v>65</v>
      </c>
      <c r="M14" s="62">
        <f>VLOOKUP($B14,'4'!$A$80:$AK$111,COLUMN('4'!AI$1),0)</f>
        <v>0.53846153846153855</v>
      </c>
      <c r="N14" s="120">
        <f>VLOOKUP($B14,'4'!$A$80:$AK$111,COLUMN('4'!AJ$1),0)</f>
        <v>100</v>
      </c>
      <c r="O14" s="63">
        <f>VLOOKUP($B14,'4'!$A$80:$AK$111,COLUMN('4'!AK$1),0)</f>
        <v>1</v>
      </c>
      <c r="P14" s="87">
        <f>IFERROR(VLOOKUP($C14,Sheet5!$C:$K,COLUMN(Sheet5!D$2)-2,0),"")</f>
        <v>0.80952380952380909</v>
      </c>
      <c r="Q14" s="148">
        <f>IFERROR(VLOOKUP($C14,Sheet5!$C:$K,COLUMN(Sheet5!E$2)-2,0),"")</f>
        <v>8.7719298245614002E-2</v>
      </c>
      <c r="R14" s="88">
        <f>IFERROR(VLOOKUP($C14,Sheet5!$C:$K,COLUMN(Sheet5!F$2)-2,0),"")</f>
        <v>0.127906976744186</v>
      </c>
      <c r="S14" s="88">
        <f>IFERROR(VLOOKUP($C14,Sheet5!$C:$K,COLUMN(Sheet5!G$2)-2,0),"")</f>
        <v>1</v>
      </c>
      <c r="T14" s="88">
        <f>IFERROR(VLOOKUP($C14,Sheet5!$C:$K,COLUMN(Sheet5!H$2)-2,0),"")</f>
        <v>0.175438596491228</v>
      </c>
      <c r="U14" s="75">
        <f>IFERROR(VLOOKUP($C14,Sheet5!$C:$K,COLUMN(Sheet5!I$2)-2,0),"")</f>
        <v>0</v>
      </c>
    </row>
    <row r="15" spans="2:24" hidden="1" x14ac:dyDescent="0.2">
      <c r="B15" s="46">
        <v>5</v>
      </c>
      <c r="C15" s="60" t="str">
        <f>VLOOKUP($B15,'4'!$A$80:$AK$111,COLUMN('4'!Z$1),0)</f>
        <v>克东盈利</v>
      </c>
      <c r="D15" s="157" t="str">
        <f>VLOOKUP(C15,'4'!AL:AM,2,0)</f>
        <v>海伦外埠所</v>
      </c>
      <c r="E15" s="119">
        <f>VLOOKUP($B15,'4'!$A$80:$AK$111,COLUMN('4'!AA$1),0)</f>
        <v>80</v>
      </c>
      <c r="F15" s="120">
        <f>VLOOKUP($B15,'4'!$A$80:$AK$111,COLUMN('4'!AB$1),0)</f>
        <v>83</v>
      </c>
      <c r="G15" s="121">
        <f>VLOOKUP($B15,'4'!$A$80:$AK$111,COLUMN('4'!AC$1),0)</f>
        <v>80</v>
      </c>
      <c r="H15" s="61">
        <f>VLOOKUP($B15,'4'!$A$80:$AK$111,COLUMN('4'!AD$1),0)</f>
        <v>-0.36507936507936511</v>
      </c>
      <c r="I15" s="62">
        <f>VLOOKUP($B15,'4'!$A$80:$AK$111,COLUMN('4'!AE$1),0)</f>
        <v>-0.3515625</v>
      </c>
      <c r="J15" s="63">
        <f>VLOOKUP($B15,'4'!$A$80:$AK$111,COLUMN('4'!AF$1),0)</f>
        <v>-0.60000000000000009</v>
      </c>
      <c r="K15" s="119">
        <f>VLOOKUP($B15,'4'!$A$80:$AK$111,COLUMN('4'!AG$1),0)</f>
        <v>126.25</v>
      </c>
      <c r="L15" s="120">
        <f>VLOOKUP($B15,'4'!$A$80:$AK$111,COLUMN('4'!AH$1),0)</f>
        <v>101</v>
      </c>
      <c r="M15" s="62">
        <f>VLOOKUP($B15,'4'!$A$80:$AK$111,COLUMN('4'!AI$1),0)</f>
        <v>0.25</v>
      </c>
      <c r="N15" s="120">
        <f>VLOOKUP($B15,'4'!$A$80:$AK$111,COLUMN('4'!AJ$1),0)</f>
        <v>126.25</v>
      </c>
      <c r="O15" s="63">
        <f>VLOOKUP($B15,'4'!$A$80:$AK$111,COLUMN('4'!AK$1),0)</f>
        <v>1</v>
      </c>
      <c r="P15" s="87">
        <f>IFERROR(VLOOKUP($C15,Sheet5!$C:$K,COLUMN(Sheet5!D$2)-2,0),"")</f>
        <v>1</v>
      </c>
      <c r="Q15" s="148">
        <f>IFERROR(VLOOKUP($C15,Sheet5!$C:$K,COLUMN(Sheet5!E$2)-2,0),"")</f>
        <v>0.98913043478260898</v>
      </c>
      <c r="R15" s="88">
        <f>IFERROR(VLOOKUP($C15,Sheet5!$C:$K,COLUMN(Sheet5!F$2)-2,0),"")</f>
        <v>0.98675496688741704</v>
      </c>
      <c r="S15" s="88">
        <f>IFERROR(VLOOKUP($C15,Sheet5!$C:$K,COLUMN(Sheet5!G$2)-2,0),"")</f>
        <v>1</v>
      </c>
      <c r="T15" s="88">
        <f>IFERROR(VLOOKUP($C15,Sheet5!$C:$K,COLUMN(Sheet5!H$2)-2,0),"")</f>
        <v>1</v>
      </c>
      <c r="U15" s="75">
        <f>IFERROR(VLOOKUP($C15,Sheet5!$C:$K,COLUMN(Sheet5!I$2)-2,0),"")</f>
        <v>1</v>
      </c>
    </row>
    <row r="16" spans="2:24" hidden="1" x14ac:dyDescent="0.2">
      <c r="B16" s="46">
        <v>6</v>
      </c>
      <c r="C16" s="60" t="e">
        <f>VLOOKUP($B16,'4'!$A$80:$AK$111,COLUMN('4'!Z$1),0)</f>
        <v>#N/A</v>
      </c>
      <c r="D16" s="157" t="e">
        <f>VLOOKUP(C16,'4'!AL:AM,2,0)</f>
        <v>#N/A</v>
      </c>
      <c r="E16" s="119" t="e">
        <f>VLOOKUP($B16,'4'!$A$80:$AK$111,COLUMN('4'!AA$1),0)</f>
        <v>#N/A</v>
      </c>
      <c r="F16" s="120" t="e">
        <f>VLOOKUP($B16,'4'!$A$80:$AK$111,COLUMN('4'!AB$1),0)</f>
        <v>#N/A</v>
      </c>
      <c r="G16" s="121" t="e">
        <f>VLOOKUP($B16,'4'!$A$80:$AK$111,COLUMN('4'!AC$1),0)</f>
        <v>#N/A</v>
      </c>
      <c r="H16" s="61" t="e">
        <f>VLOOKUP($B16,'4'!$A$80:$AK$111,COLUMN('4'!AD$1),0)</f>
        <v>#N/A</v>
      </c>
      <c r="I16" s="62" t="e">
        <f>VLOOKUP($B16,'4'!$A$80:$AK$111,COLUMN('4'!AE$1),0)</f>
        <v>#N/A</v>
      </c>
      <c r="J16" s="63" t="e">
        <f>VLOOKUP($B16,'4'!$A$80:$AK$111,COLUMN('4'!AF$1),0)</f>
        <v>#N/A</v>
      </c>
      <c r="K16" s="119" t="e">
        <f>VLOOKUP($B16,'4'!$A$80:$AK$111,COLUMN('4'!AG$1),0)</f>
        <v>#N/A</v>
      </c>
      <c r="L16" s="120" t="e">
        <f>VLOOKUP($B16,'4'!$A$80:$AK$111,COLUMN('4'!AH$1),0)</f>
        <v>#N/A</v>
      </c>
      <c r="M16" s="62" t="e">
        <f>VLOOKUP($B16,'4'!$A$80:$AK$111,COLUMN('4'!AI$1),0)</f>
        <v>#N/A</v>
      </c>
      <c r="N16" s="120" t="e">
        <f>VLOOKUP($B16,'4'!$A$80:$AK$111,COLUMN('4'!AJ$1),0)</f>
        <v>#N/A</v>
      </c>
      <c r="O16" s="63" t="e">
        <f>VLOOKUP($B16,'4'!$A$80:$AK$111,COLUMN('4'!AK$1),0)</f>
        <v>#N/A</v>
      </c>
      <c r="P16" s="87" t="str">
        <f>IFERROR(VLOOKUP($C16,Sheet5!$C:$K,COLUMN(Sheet5!D$2)-2,0),"")</f>
        <v/>
      </c>
      <c r="Q16" s="148" t="str">
        <f>IFERROR(VLOOKUP($C16,Sheet5!$C:$K,COLUMN(Sheet5!E$2)-2,0),"")</f>
        <v/>
      </c>
      <c r="R16" s="88" t="str">
        <f>IFERROR(VLOOKUP($C16,Sheet5!$C:$K,COLUMN(Sheet5!F$2)-2,0),"")</f>
        <v/>
      </c>
      <c r="S16" s="88" t="str">
        <f>IFERROR(VLOOKUP($C16,Sheet5!$C:$K,COLUMN(Sheet5!G$2)-2,0),"")</f>
        <v/>
      </c>
      <c r="T16" s="88" t="str">
        <f>IFERROR(VLOOKUP($C16,Sheet5!$C:$K,COLUMN(Sheet5!H$2)-2,0),"")</f>
        <v/>
      </c>
      <c r="U16" s="75" t="str">
        <f>IFERROR(VLOOKUP($C16,Sheet5!$C:$K,COLUMN(Sheet5!I$2)-2,0),"")</f>
        <v/>
      </c>
    </row>
    <row r="17" spans="2:21" hidden="1" x14ac:dyDescent="0.2">
      <c r="B17" s="46">
        <v>7</v>
      </c>
      <c r="C17" s="60" t="str">
        <f>VLOOKUP($B17,'4'!$A$80:$AK$111,COLUMN('4'!Z$1),0)</f>
        <v>肇东汇百康</v>
      </c>
      <c r="D17" s="157" t="str">
        <f>VLOOKUP(C17,'4'!AL:AM,2,0)</f>
        <v>肇东外埠所</v>
      </c>
      <c r="E17" s="119">
        <f>VLOOKUP($B17,'4'!$A$80:$AK$111,COLUMN('4'!AA$1),0)</f>
        <v>300</v>
      </c>
      <c r="F17" s="120">
        <f>VLOOKUP($B17,'4'!$A$80:$AK$111,COLUMN('4'!AB$1),0)</f>
        <v>760</v>
      </c>
      <c r="G17" s="121">
        <f>VLOOKUP($B17,'4'!$A$80:$AK$111,COLUMN('4'!AC$1),0)</f>
        <v>203</v>
      </c>
      <c r="H17" s="61">
        <f>VLOOKUP($B17,'4'!$A$80:$AK$111,COLUMN('4'!AD$1),0)</f>
        <v>-1.3157894736842146E-2</v>
      </c>
      <c r="I17" s="62">
        <f>VLOOKUP($B17,'4'!$A$80:$AK$111,COLUMN('4'!AE$1),0)</f>
        <v>-1.9354838709677469E-2</v>
      </c>
      <c r="J17" s="63">
        <f>VLOOKUP($B17,'4'!$A$80:$AK$111,COLUMN('4'!AF$1),0)</f>
        <v>-0.34516129032258058</v>
      </c>
      <c r="K17" s="119">
        <f>VLOOKUP($B17,'4'!$A$80:$AK$111,COLUMN('4'!AG$1),0)</f>
        <v>487.5</v>
      </c>
      <c r="L17" s="120">
        <f>VLOOKUP($B17,'4'!$A$80:$AK$111,COLUMN('4'!AH$1),0)</f>
        <v>407</v>
      </c>
      <c r="M17" s="62">
        <f>VLOOKUP($B17,'4'!$A$80:$AK$111,COLUMN('4'!AI$1),0)</f>
        <v>0.19778869778869779</v>
      </c>
      <c r="N17" s="120">
        <f>VLOOKUP($B17,'4'!$A$80:$AK$111,COLUMN('4'!AJ$1),0)</f>
        <v>487.5</v>
      </c>
      <c r="O17" s="63">
        <f>VLOOKUP($B17,'4'!$A$80:$AK$111,COLUMN('4'!AK$1),0)</f>
        <v>1</v>
      </c>
      <c r="P17" s="87">
        <f>IFERROR(VLOOKUP($C17,Sheet5!$C:$K,COLUMN(Sheet5!D$2)-2,0),"")</f>
        <v>1</v>
      </c>
      <c r="Q17" s="148">
        <f>IFERROR(VLOOKUP($C17,Sheet5!$C:$K,COLUMN(Sheet5!E$2)-2,0),"")</f>
        <v>0.98891352549889111</v>
      </c>
      <c r="R17" s="88">
        <f>IFERROR(VLOOKUP($C17,Sheet5!$C:$K,COLUMN(Sheet5!F$2)-2,0),"")</f>
        <v>0.99092088197146599</v>
      </c>
      <c r="S17" s="88">
        <f>IFERROR(VLOOKUP($C17,Sheet5!$C:$K,COLUMN(Sheet5!G$2)-2,0),"")</f>
        <v>1</v>
      </c>
      <c r="T17" s="88">
        <f>IFERROR(VLOOKUP($C17,Sheet5!$C:$K,COLUMN(Sheet5!H$2)-2,0),"")</f>
        <v>0.98871331828442388</v>
      </c>
      <c r="U17" s="75">
        <f>IFERROR(VLOOKUP($C17,Sheet5!$C:$K,COLUMN(Sheet5!I$2)-2,0),"")</f>
        <v>1</v>
      </c>
    </row>
    <row r="18" spans="2:21" hidden="1" x14ac:dyDescent="0.2">
      <c r="B18" s="46">
        <v>8</v>
      </c>
      <c r="C18" s="60" t="str">
        <f>VLOOKUP($B18,'4'!$A$80:$AK$111,COLUMN('4'!Z$1),0)</f>
        <v>兴隆鑫康鸿</v>
      </c>
      <c r="D18" s="157" t="str">
        <f>VLOOKUP(C18,'4'!AL:AM,2,0)</f>
        <v>绥化外埠所</v>
      </c>
      <c r="E18" s="119">
        <f>VLOOKUP($B18,'4'!$A$80:$AK$111,COLUMN('4'!AA$1),0)</f>
        <v>100</v>
      </c>
      <c r="F18" s="120">
        <f>VLOOKUP($B18,'4'!$A$80:$AK$111,COLUMN('4'!AB$1),0)</f>
        <v>235</v>
      </c>
      <c r="G18" s="121">
        <f>VLOOKUP($B18,'4'!$A$80:$AK$111,COLUMN('4'!AC$1),0)</f>
        <v>205</v>
      </c>
      <c r="H18" s="61">
        <f>VLOOKUP($B18,'4'!$A$80:$AK$111,COLUMN('4'!AD$1),0)</f>
        <v>-0.13043478260869568</v>
      </c>
      <c r="I18" s="62">
        <f>VLOOKUP($B18,'4'!$A$80:$AK$111,COLUMN('4'!AE$1),0)</f>
        <v>0</v>
      </c>
      <c r="J18" s="63">
        <f>VLOOKUP($B18,'4'!$A$80:$AK$111,COLUMN('4'!AF$1),0)</f>
        <v>0.27329192546583836</v>
      </c>
      <c r="K18" s="119">
        <f>VLOOKUP($B18,'4'!$A$80:$AK$111,COLUMN('4'!AG$1),0)</f>
        <v>125</v>
      </c>
      <c r="L18" s="120">
        <f>VLOOKUP($B18,'4'!$A$80:$AK$111,COLUMN('4'!AH$1),0)</f>
        <v>105</v>
      </c>
      <c r="M18" s="62">
        <f>VLOOKUP($B18,'4'!$A$80:$AK$111,COLUMN('4'!AI$1),0)</f>
        <v>0.19047619047619047</v>
      </c>
      <c r="N18" s="120">
        <f>VLOOKUP($B18,'4'!$A$80:$AK$111,COLUMN('4'!AJ$1),0)</f>
        <v>125</v>
      </c>
      <c r="O18" s="63">
        <f>VLOOKUP($B18,'4'!$A$80:$AK$111,COLUMN('4'!AK$1),0)</f>
        <v>1</v>
      </c>
      <c r="P18" s="87">
        <f>IFERROR(VLOOKUP($C18,Sheet5!$C:$K,COLUMN(Sheet5!D$2)-2,0),"")</f>
        <v>0.98181818181818203</v>
      </c>
      <c r="Q18" s="148">
        <f>IFERROR(VLOOKUP($C18,Sheet5!$C:$K,COLUMN(Sheet5!E$2)-2,0),"")</f>
        <v>0.98684210526315796</v>
      </c>
      <c r="R18" s="88">
        <f>IFERROR(VLOOKUP($C18,Sheet5!$C:$K,COLUMN(Sheet5!F$2)-2,0),"")</f>
        <v>0.99337748344370891</v>
      </c>
      <c r="S18" s="88">
        <f>IFERROR(VLOOKUP($C18,Sheet5!$C:$K,COLUMN(Sheet5!G$2)-2,0),"")</f>
        <v>1</v>
      </c>
      <c r="T18" s="88">
        <f>IFERROR(VLOOKUP($C18,Sheet5!$C:$K,COLUMN(Sheet5!H$2)-2,0),"")</f>
        <v>0.98684210526315796</v>
      </c>
      <c r="U18" s="75">
        <f>IFERROR(VLOOKUP($C18,Sheet5!$C:$K,COLUMN(Sheet5!I$2)-2,0),"")</f>
        <v>1</v>
      </c>
    </row>
    <row r="19" spans="2:21" hidden="1" x14ac:dyDescent="0.2">
      <c r="B19" s="46">
        <v>9</v>
      </c>
      <c r="C19" s="60" t="str">
        <f>VLOOKUP($B19,'4'!$A$80:$AK$111,COLUMN('4'!Z$1),0)</f>
        <v>明水百佳惠</v>
      </c>
      <c r="D19" s="157" t="str">
        <f>VLOOKUP(C19,'4'!AL:AM,2,0)</f>
        <v>绥化外埠所</v>
      </c>
      <c r="E19" s="119">
        <f>VLOOKUP($B19,'4'!$A$80:$AK$111,COLUMN('4'!AA$1),0)</f>
        <v>144</v>
      </c>
      <c r="F19" s="120">
        <f>VLOOKUP($B19,'4'!$A$80:$AK$111,COLUMN('4'!AB$1),0)</f>
        <v>106</v>
      </c>
      <c r="G19" s="121">
        <f>VLOOKUP($B19,'4'!$A$80:$AK$111,COLUMN('4'!AC$1),0)</f>
        <v>210</v>
      </c>
      <c r="H19" s="61">
        <f>VLOOKUP($B19,'4'!$A$80:$AK$111,COLUMN('4'!AD$1),0)</f>
        <v>-0.15294117647058836</v>
      </c>
      <c r="I19" s="62">
        <f>VLOOKUP($B19,'4'!$A$80:$AK$111,COLUMN('4'!AE$1),0)</f>
        <v>-0.60000000000000009</v>
      </c>
      <c r="J19" s="63">
        <f>VLOOKUP($B19,'4'!$A$80:$AK$111,COLUMN('4'!AF$1),0)</f>
        <v>-0.23076923076923084</v>
      </c>
      <c r="K19" s="119">
        <f>VLOOKUP($B19,'4'!$A$80:$AK$111,COLUMN('4'!AG$1),0)</f>
        <v>375</v>
      </c>
      <c r="L19" s="120">
        <f>VLOOKUP($B19,'4'!$A$80:$AK$111,COLUMN('4'!AH$1),0)</f>
        <v>320</v>
      </c>
      <c r="M19" s="62">
        <f>VLOOKUP($B19,'4'!$A$80:$AK$111,COLUMN('4'!AI$1),0)</f>
        <v>0.171875</v>
      </c>
      <c r="N19" s="120">
        <f>VLOOKUP($B19,'4'!$A$80:$AK$111,COLUMN('4'!AJ$1),0)</f>
        <v>234</v>
      </c>
      <c r="O19" s="63">
        <f>VLOOKUP($B19,'4'!$A$80:$AK$111,COLUMN('4'!AK$1),0)</f>
        <v>1.6025641025641026</v>
      </c>
      <c r="P19" s="87">
        <f>IFERROR(VLOOKUP($C19,Sheet5!$C:$K,COLUMN(Sheet5!D$2)-2,0),"")</f>
        <v>1</v>
      </c>
      <c r="Q19" s="148">
        <f>IFERROR(VLOOKUP($C19,Sheet5!$C:$K,COLUMN(Sheet5!E$2)-2,0),"")</f>
        <v>0.85148514851485102</v>
      </c>
      <c r="R19" s="88">
        <f>IFERROR(VLOOKUP($C19,Sheet5!$C:$K,COLUMN(Sheet5!F$2)-2,0),"")</f>
        <v>0.97333333333333305</v>
      </c>
      <c r="S19" s="88">
        <f>IFERROR(VLOOKUP($C19,Sheet5!$C:$K,COLUMN(Sheet5!G$2)-2,0),"")</f>
        <v>0.93333333333333302</v>
      </c>
      <c r="T19" s="88">
        <f>IFERROR(VLOOKUP($C19,Sheet5!$C:$K,COLUMN(Sheet5!H$2)-2,0),"")</f>
        <v>0.81188118811881194</v>
      </c>
      <c r="U19" s="75">
        <f>IFERROR(VLOOKUP($C19,Sheet5!$C:$K,COLUMN(Sheet5!I$2)-2,0),"")</f>
        <v>1</v>
      </c>
    </row>
    <row r="20" spans="2:21" hidden="1" x14ac:dyDescent="0.2">
      <c r="B20" s="46">
        <v>10</v>
      </c>
      <c r="C20" s="60" t="e">
        <f>VLOOKUP($B20,'4'!$A$80:$AK$111,COLUMN('4'!Z$1),0)</f>
        <v>#N/A</v>
      </c>
      <c r="D20" s="157" t="e">
        <f>VLOOKUP(C20,'4'!AL:AM,2,0)</f>
        <v>#N/A</v>
      </c>
      <c r="E20" s="119" t="e">
        <f>VLOOKUP($B20,'4'!$A$80:$AK$111,COLUMN('4'!AA$1),0)</f>
        <v>#N/A</v>
      </c>
      <c r="F20" s="120" t="e">
        <f>VLOOKUP($B20,'4'!$A$80:$AK$111,COLUMN('4'!AB$1),0)</f>
        <v>#N/A</v>
      </c>
      <c r="G20" s="121" t="e">
        <f>VLOOKUP($B20,'4'!$A$80:$AK$111,COLUMN('4'!AC$1),0)</f>
        <v>#N/A</v>
      </c>
      <c r="H20" s="61" t="e">
        <f>VLOOKUP($B20,'4'!$A$80:$AK$111,COLUMN('4'!AD$1),0)</f>
        <v>#N/A</v>
      </c>
      <c r="I20" s="62" t="e">
        <f>VLOOKUP($B20,'4'!$A$80:$AK$111,COLUMN('4'!AE$1),0)</f>
        <v>#N/A</v>
      </c>
      <c r="J20" s="63" t="e">
        <f>VLOOKUP($B20,'4'!$A$80:$AK$111,COLUMN('4'!AF$1),0)</f>
        <v>#N/A</v>
      </c>
      <c r="K20" s="119" t="e">
        <f>VLOOKUP($B20,'4'!$A$80:$AK$111,COLUMN('4'!AG$1),0)</f>
        <v>#N/A</v>
      </c>
      <c r="L20" s="120" t="e">
        <f>VLOOKUP($B20,'4'!$A$80:$AK$111,COLUMN('4'!AH$1),0)</f>
        <v>#N/A</v>
      </c>
      <c r="M20" s="62" t="e">
        <f>VLOOKUP($B20,'4'!$A$80:$AK$111,COLUMN('4'!AI$1),0)</f>
        <v>#N/A</v>
      </c>
      <c r="N20" s="120" t="e">
        <f>VLOOKUP($B20,'4'!$A$80:$AK$111,COLUMN('4'!AJ$1),0)</f>
        <v>#N/A</v>
      </c>
      <c r="O20" s="63" t="e">
        <f>VLOOKUP($B20,'4'!$A$80:$AK$111,COLUMN('4'!AK$1),0)</f>
        <v>#N/A</v>
      </c>
      <c r="P20" s="87" t="str">
        <f>IFERROR(VLOOKUP($C20,Sheet5!$C:$K,COLUMN(Sheet5!D$2)-2,0),"")</f>
        <v/>
      </c>
      <c r="Q20" s="148" t="str">
        <f>IFERROR(VLOOKUP($C20,Sheet5!$C:$K,COLUMN(Sheet5!E$2)-2,0),"")</f>
        <v/>
      </c>
      <c r="R20" s="88" t="str">
        <f>IFERROR(VLOOKUP($C20,Sheet5!$C:$K,COLUMN(Sheet5!F$2)-2,0),"")</f>
        <v/>
      </c>
      <c r="S20" s="88" t="str">
        <f>IFERROR(VLOOKUP($C20,Sheet5!$C:$K,COLUMN(Sheet5!G$2)-2,0),"")</f>
        <v/>
      </c>
      <c r="T20" s="88" t="str">
        <f>IFERROR(VLOOKUP($C20,Sheet5!$C:$K,COLUMN(Sheet5!H$2)-2,0),"")</f>
        <v/>
      </c>
      <c r="U20" s="75" t="str">
        <f>IFERROR(VLOOKUP($C20,Sheet5!$C:$K,COLUMN(Sheet5!I$2)-2,0),"")</f>
        <v/>
      </c>
    </row>
    <row r="21" spans="2:21" hidden="1" x14ac:dyDescent="0.2">
      <c r="B21" s="46">
        <v>11</v>
      </c>
      <c r="C21" s="60" t="str">
        <f>VLOOKUP($B21,'4'!$A$80:$AK$111,COLUMN('4'!Z$1),0)</f>
        <v>庆安佳庆商贸</v>
      </c>
      <c r="D21" s="157" t="str">
        <f>VLOOKUP(C21,'4'!AL:AM,2,0)</f>
        <v>伊春外埠所</v>
      </c>
      <c r="E21" s="119">
        <f>VLOOKUP($B21,'4'!$A$80:$AK$111,COLUMN('4'!AA$1),0)</f>
        <v>102</v>
      </c>
      <c r="F21" s="120">
        <f>VLOOKUP($B21,'4'!$A$80:$AK$111,COLUMN('4'!AB$1),0)</f>
        <v>290</v>
      </c>
      <c r="G21" s="121">
        <f>VLOOKUP($B21,'4'!$A$80:$AK$111,COLUMN('4'!AC$1),0)</f>
        <v>80</v>
      </c>
      <c r="H21" s="61">
        <f>VLOOKUP($B21,'4'!$A$80:$AK$111,COLUMN('4'!AD$1),0)</f>
        <v>-0.28671328671328666</v>
      </c>
      <c r="I21" s="62">
        <f>VLOOKUP($B21,'4'!$A$80:$AK$111,COLUMN('4'!AE$1),0)</f>
        <v>-3.6544850498338888E-2</v>
      </c>
      <c r="J21" s="63">
        <f>VLOOKUP($B21,'4'!$A$80:$AK$111,COLUMN('4'!AF$1),0)</f>
        <v>-0.30434782608695654</v>
      </c>
      <c r="K21" s="119">
        <f>VLOOKUP($B21,'4'!$A$80:$AK$111,COLUMN('4'!AG$1),0)</f>
        <v>362.5</v>
      </c>
      <c r="L21" s="120">
        <f>VLOOKUP($B21,'4'!$A$80:$AK$111,COLUMN('4'!AH$1),0)</f>
        <v>310</v>
      </c>
      <c r="M21" s="62">
        <f>VLOOKUP($B21,'4'!$A$80:$AK$111,COLUMN('4'!AI$1),0)</f>
        <v>0.16935483870967749</v>
      </c>
      <c r="N21" s="120">
        <f>VLOOKUP($B21,'4'!$A$80:$AK$111,COLUMN('4'!AJ$1),0)</f>
        <v>362.5</v>
      </c>
      <c r="O21" s="63">
        <f>VLOOKUP($B21,'4'!$A$80:$AK$111,COLUMN('4'!AK$1),0)</f>
        <v>1</v>
      </c>
      <c r="P21" s="87">
        <f>IFERROR(VLOOKUP($C21,Sheet5!$C:$K,COLUMN(Sheet5!D$2)-2,0),"")</f>
        <v>0.99253731343283602</v>
      </c>
      <c r="Q21" s="148">
        <f>IFERROR(VLOOKUP($C21,Sheet5!$C:$K,COLUMN(Sheet5!E$2)-2,0),"")</f>
        <v>0.52941176470588203</v>
      </c>
      <c r="R21" s="88">
        <f>IFERROR(VLOOKUP($C21,Sheet5!$C:$K,COLUMN(Sheet5!F$2)-2,0),"")</f>
        <v>0.50501672240802697</v>
      </c>
      <c r="S21" s="88">
        <f>IFERROR(VLOOKUP($C21,Sheet5!$C:$K,COLUMN(Sheet5!G$2)-2,0),"")</f>
        <v>0.76470588235294101</v>
      </c>
      <c r="T21" s="88">
        <f>IFERROR(VLOOKUP($C21,Sheet5!$C:$K,COLUMN(Sheet5!H$2)-2,0),"")</f>
        <v>0.56372549019607798</v>
      </c>
      <c r="U21" s="75">
        <f>IFERROR(VLOOKUP($C21,Sheet5!$C:$K,COLUMN(Sheet5!I$2)-2,0),"")</f>
        <v>0.76470588235294101</v>
      </c>
    </row>
    <row r="22" spans="2:21" hidden="1" x14ac:dyDescent="0.2">
      <c r="B22" s="46">
        <v>12</v>
      </c>
      <c r="C22" s="60" t="str">
        <f>VLOOKUP($B22,'4'!$A$80:$AK$111,COLUMN('4'!Z$1),0)</f>
        <v>青冈晓雨</v>
      </c>
      <c r="D22" s="157" t="str">
        <f>VLOOKUP(C22,'4'!AL:AM,2,0)</f>
        <v>绥化外埠所</v>
      </c>
      <c r="E22" s="119">
        <f>VLOOKUP($B22,'4'!$A$80:$AK$111,COLUMN('4'!AA$1),0)</f>
        <v>162</v>
      </c>
      <c r="F22" s="120">
        <f>VLOOKUP($B22,'4'!$A$80:$AK$111,COLUMN('4'!AB$1),0)</f>
        <v>459</v>
      </c>
      <c r="G22" s="121">
        <f>VLOOKUP($B22,'4'!$A$80:$AK$111,COLUMN('4'!AC$1),0)</f>
        <v>252</v>
      </c>
      <c r="H22" s="61">
        <f>VLOOKUP($B22,'4'!$A$80:$AK$111,COLUMN('4'!AD$1),0)</f>
        <v>-0.19000000000000006</v>
      </c>
      <c r="I22" s="62">
        <f>VLOOKUP($B22,'4'!$A$80:$AK$111,COLUMN('4'!AE$1),0)</f>
        <v>0.4571428571428573</v>
      </c>
      <c r="J22" s="63">
        <f>VLOOKUP($B22,'4'!$A$80:$AK$111,COLUMN('4'!AF$1),0)</f>
        <v>-0.12802768166089962</v>
      </c>
      <c r="K22" s="119">
        <f>VLOOKUP($B22,'4'!$A$80:$AK$111,COLUMN('4'!AG$1),0)</f>
        <v>350</v>
      </c>
      <c r="L22" s="120">
        <f>VLOOKUP($B22,'4'!$A$80:$AK$111,COLUMN('4'!AH$1),0)</f>
        <v>300</v>
      </c>
      <c r="M22" s="62">
        <f>VLOOKUP($B22,'4'!$A$80:$AK$111,COLUMN('4'!AI$1),0)</f>
        <v>0.16666666666666674</v>
      </c>
      <c r="N22" s="120">
        <f>VLOOKUP($B22,'4'!$A$80:$AK$111,COLUMN('4'!AJ$1),0)</f>
        <v>350</v>
      </c>
      <c r="O22" s="63">
        <f>VLOOKUP($B22,'4'!$A$80:$AK$111,COLUMN('4'!AK$1),0)</f>
        <v>1</v>
      </c>
      <c r="P22" s="87">
        <f>IFERROR(VLOOKUP($C22,Sheet5!$C:$K,COLUMN(Sheet5!D$2)-2,0),"")</f>
        <v>1</v>
      </c>
      <c r="Q22" s="148">
        <f>IFERROR(VLOOKUP($C22,Sheet5!$C:$K,COLUMN(Sheet5!E$2)-2,0),"")</f>
        <v>0.59230769230769198</v>
      </c>
      <c r="R22" s="88">
        <f>IFERROR(VLOOKUP($C22,Sheet5!$C:$K,COLUMN(Sheet5!F$2)-2,0),"")</f>
        <v>0.77308707124010601</v>
      </c>
      <c r="S22" s="88">
        <f>IFERROR(VLOOKUP($C22,Sheet5!$C:$K,COLUMN(Sheet5!G$2)-2,0),"")</f>
        <v>0.72</v>
      </c>
      <c r="T22" s="88">
        <f>IFERROR(VLOOKUP($C22,Sheet5!$C:$K,COLUMN(Sheet5!H$2)-2,0),"")</f>
        <v>0.6</v>
      </c>
      <c r="U22" s="75">
        <f>IFERROR(VLOOKUP($C22,Sheet5!$C:$K,COLUMN(Sheet5!I$2)-2,0),"")</f>
        <v>0.72</v>
      </c>
    </row>
    <row r="23" spans="2:21" hidden="1" x14ac:dyDescent="0.2">
      <c r="B23" s="46">
        <v>13</v>
      </c>
      <c r="C23" s="60" t="str">
        <f>VLOOKUP($B23,'4'!$A$80:$AK$111,COLUMN('4'!Z$1),0)</f>
        <v>五市盛泽</v>
      </c>
      <c r="D23" s="157" t="str">
        <f>VLOOKUP(C23,'4'!AL:AM,2,0)</f>
        <v>海伦外埠所</v>
      </c>
      <c r="E23" s="119">
        <f>VLOOKUP($B23,'4'!$A$80:$AK$111,COLUMN('4'!AA$1),0)</f>
        <v>100</v>
      </c>
      <c r="F23" s="120">
        <f>VLOOKUP($B23,'4'!$A$80:$AK$111,COLUMN('4'!AB$1),0)</f>
        <v>260</v>
      </c>
      <c r="G23" s="121">
        <f>VLOOKUP($B23,'4'!$A$80:$AK$111,COLUMN('4'!AC$1),0)</f>
        <v>350</v>
      </c>
      <c r="H23" s="61">
        <f>VLOOKUP($B23,'4'!$A$80:$AK$111,COLUMN('4'!AD$1),0)</f>
        <v>-0.31034482758620685</v>
      </c>
      <c r="I23" s="62">
        <f>VLOOKUP($B23,'4'!$A$80:$AK$111,COLUMN('4'!AE$1),0)</f>
        <v>0.57575757575757569</v>
      </c>
      <c r="J23" s="63">
        <f>VLOOKUP($B23,'4'!$A$80:$AK$111,COLUMN('4'!AF$1),0)</f>
        <v>7.0336391437308743E-2</v>
      </c>
      <c r="K23" s="119">
        <f>VLOOKUP($B23,'4'!$A$80:$AK$111,COLUMN('4'!AG$1),0)</f>
        <v>325</v>
      </c>
      <c r="L23" s="120">
        <f>VLOOKUP($B23,'4'!$A$80:$AK$111,COLUMN('4'!AH$1),0)</f>
        <v>280</v>
      </c>
      <c r="M23" s="62">
        <f>VLOOKUP($B23,'4'!$A$80:$AK$111,COLUMN('4'!AI$1),0)</f>
        <v>0.16071428571428581</v>
      </c>
      <c r="N23" s="120">
        <f>VLOOKUP($B23,'4'!$A$80:$AK$111,COLUMN('4'!AJ$1),0)</f>
        <v>325</v>
      </c>
      <c r="O23" s="63">
        <f>VLOOKUP($B23,'4'!$A$80:$AK$111,COLUMN('4'!AK$1),0)</f>
        <v>1</v>
      </c>
      <c r="P23" s="87">
        <f>IFERROR(VLOOKUP($C23,Sheet5!$C:$K,COLUMN(Sheet5!D$2)-2,0),"")</f>
        <v>0.97169811320754707</v>
      </c>
      <c r="Q23" s="148">
        <f>IFERROR(VLOOKUP($C23,Sheet5!$C:$K,COLUMN(Sheet5!E$2)-2,0),"")</f>
        <v>0.924050632911392</v>
      </c>
      <c r="R23" s="88">
        <f>IFERROR(VLOOKUP($C23,Sheet5!$C:$K,COLUMN(Sheet5!F$2)-2,0),"")</f>
        <v>0.91851851851851807</v>
      </c>
      <c r="S23" s="88">
        <f>IFERROR(VLOOKUP($C23,Sheet5!$C:$K,COLUMN(Sheet5!G$2)-2,0),"")</f>
        <v>1</v>
      </c>
      <c r="T23" s="88">
        <f>IFERROR(VLOOKUP($C23,Sheet5!$C:$K,COLUMN(Sheet5!H$2)-2,0),"")</f>
        <v>0.92857142857142905</v>
      </c>
      <c r="U23" s="75">
        <f>IFERROR(VLOOKUP($C23,Sheet5!$C:$K,COLUMN(Sheet5!I$2)-2,0),"")</f>
        <v>1</v>
      </c>
    </row>
    <row r="24" spans="2:21" hidden="1" x14ac:dyDescent="0.2">
      <c r="B24" s="46">
        <v>14</v>
      </c>
      <c r="C24" s="60" t="e">
        <f>VLOOKUP($B24,'4'!$A$80:$AK$111,COLUMN('4'!Z$1),0)</f>
        <v>#N/A</v>
      </c>
      <c r="D24" s="157" t="e">
        <f>VLOOKUP(C24,'4'!AL:AM,2,0)</f>
        <v>#N/A</v>
      </c>
      <c r="E24" s="119" t="e">
        <f>VLOOKUP($B24,'4'!$A$80:$AK$111,COLUMN('4'!AA$1),0)</f>
        <v>#N/A</v>
      </c>
      <c r="F24" s="120" t="e">
        <f>VLOOKUP($B24,'4'!$A$80:$AK$111,COLUMN('4'!AB$1),0)</f>
        <v>#N/A</v>
      </c>
      <c r="G24" s="121" t="e">
        <f>VLOOKUP($B24,'4'!$A$80:$AK$111,COLUMN('4'!AC$1),0)</f>
        <v>#N/A</v>
      </c>
      <c r="H24" s="61" t="e">
        <f>VLOOKUP($B24,'4'!$A$80:$AK$111,COLUMN('4'!AD$1),0)</f>
        <v>#N/A</v>
      </c>
      <c r="I24" s="62" t="e">
        <f>VLOOKUP($B24,'4'!$A$80:$AK$111,COLUMN('4'!AE$1),0)</f>
        <v>#N/A</v>
      </c>
      <c r="J24" s="63" t="e">
        <f>VLOOKUP($B24,'4'!$A$80:$AK$111,COLUMN('4'!AF$1),0)</f>
        <v>#N/A</v>
      </c>
      <c r="K24" s="119" t="e">
        <f>VLOOKUP($B24,'4'!$A$80:$AK$111,COLUMN('4'!AG$1),0)</f>
        <v>#N/A</v>
      </c>
      <c r="L24" s="120" t="e">
        <f>VLOOKUP($B24,'4'!$A$80:$AK$111,COLUMN('4'!AH$1),0)</f>
        <v>#N/A</v>
      </c>
      <c r="M24" s="62" t="e">
        <f>VLOOKUP($B24,'4'!$A$80:$AK$111,COLUMN('4'!AI$1),0)</f>
        <v>#N/A</v>
      </c>
      <c r="N24" s="120" t="e">
        <f>VLOOKUP($B24,'4'!$A$80:$AK$111,COLUMN('4'!AJ$1),0)</f>
        <v>#N/A</v>
      </c>
      <c r="O24" s="63" t="e">
        <f>VLOOKUP($B24,'4'!$A$80:$AK$111,COLUMN('4'!AK$1),0)</f>
        <v>#N/A</v>
      </c>
      <c r="P24" s="87" t="str">
        <f>IFERROR(VLOOKUP($C24,Sheet5!$C:$K,COLUMN(Sheet5!D$2)-2,0),"")</f>
        <v/>
      </c>
      <c r="Q24" s="148" t="str">
        <f>IFERROR(VLOOKUP($C24,Sheet5!$C:$K,COLUMN(Sheet5!E$2)-2,0),"")</f>
        <v/>
      </c>
      <c r="R24" s="88" t="str">
        <f>IFERROR(VLOOKUP($C24,Sheet5!$C:$K,COLUMN(Sheet5!F$2)-2,0),"")</f>
        <v/>
      </c>
      <c r="S24" s="88" t="str">
        <f>IFERROR(VLOOKUP($C24,Sheet5!$C:$K,COLUMN(Sheet5!G$2)-2,0),"")</f>
        <v/>
      </c>
      <c r="T24" s="88" t="str">
        <f>IFERROR(VLOOKUP($C24,Sheet5!$C:$K,COLUMN(Sheet5!H$2)-2,0),"")</f>
        <v/>
      </c>
      <c r="U24" s="75" t="str">
        <f>IFERROR(VLOOKUP($C24,Sheet5!$C:$K,COLUMN(Sheet5!I$2)-2,0),"")</f>
        <v/>
      </c>
    </row>
    <row r="25" spans="2:21" hidden="1" x14ac:dyDescent="0.2">
      <c r="B25" s="46">
        <v>15</v>
      </c>
      <c r="C25" s="60" t="str">
        <f>VLOOKUP($B25,'4'!$A$80:$AK$111,COLUMN('4'!Z$1),0)</f>
        <v>北安博源</v>
      </c>
      <c r="D25" s="157" t="str">
        <f>VLOOKUP(C25,'4'!AL:AM,2,0)</f>
        <v>海伦外埠所</v>
      </c>
      <c r="E25" s="119">
        <f>VLOOKUP($B25,'4'!$A$80:$AK$111,COLUMN('4'!AA$1),0)</f>
        <v>136</v>
      </c>
      <c r="F25" s="120">
        <f>VLOOKUP($B25,'4'!$A$80:$AK$111,COLUMN('4'!AB$1),0)</f>
        <v>360</v>
      </c>
      <c r="G25" s="121">
        <f>VLOOKUP($B25,'4'!$A$80:$AK$111,COLUMN('4'!AC$1),0)</f>
        <v>310</v>
      </c>
      <c r="H25" s="61">
        <f>VLOOKUP($B25,'4'!$A$80:$AK$111,COLUMN('4'!AD$1),0)</f>
        <v>-0.1225806451612903</v>
      </c>
      <c r="I25" s="62">
        <f>VLOOKUP($B25,'4'!$A$80:$AK$111,COLUMN('4'!AE$1),0)</f>
        <v>-0.37931034482758619</v>
      </c>
      <c r="J25" s="63">
        <f>VLOOKUP($B25,'4'!$A$80:$AK$111,COLUMN('4'!AF$1),0)</f>
        <v>-0.22693266832917713</v>
      </c>
      <c r="K25" s="119">
        <f>VLOOKUP($B25,'4'!$A$80:$AK$111,COLUMN('4'!AG$1),0)</f>
        <v>425</v>
      </c>
      <c r="L25" s="120">
        <f>VLOOKUP($B25,'4'!$A$80:$AK$111,COLUMN('4'!AH$1),0)</f>
        <v>370</v>
      </c>
      <c r="M25" s="62">
        <f>VLOOKUP($B25,'4'!$A$80:$AK$111,COLUMN('4'!AI$1),0)</f>
        <v>0.14864864864864868</v>
      </c>
      <c r="N25" s="120">
        <f>VLOOKUP($B25,'4'!$A$80:$AK$111,COLUMN('4'!AJ$1),0)</f>
        <v>425</v>
      </c>
      <c r="O25" s="63">
        <f>VLOOKUP($B25,'4'!$A$80:$AK$111,COLUMN('4'!AK$1),0)</f>
        <v>1</v>
      </c>
      <c r="P25" s="87">
        <f>IFERROR(VLOOKUP($C25,Sheet5!$C:$K,COLUMN(Sheet5!D$2)-2,0),"")</f>
        <v>0.85384615384615403</v>
      </c>
      <c r="Q25" s="148">
        <f>IFERROR(VLOOKUP($C25,Sheet5!$C:$K,COLUMN(Sheet5!E$2)-2,0),"")</f>
        <v>0.67630057803468202</v>
      </c>
      <c r="R25" s="88">
        <f>IFERROR(VLOOKUP($C25,Sheet5!$C:$K,COLUMN(Sheet5!F$2)-2,0),"")</f>
        <v>0.76444444444444404</v>
      </c>
      <c r="S25" s="88">
        <f>IFERROR(VLOOKUP($C25,Sheet5!$C:$K,COLUMN(Sheet5!G$2)-2,0),"")</f>
        <v>1</v>
      </c>
      <c r="T25" s="88">
        <f>IFERROR(VLOOKUP($C25,Sheet5!$C:$K,COLUMN(Sheet5!H$2)-2,0),"")</f>
        <v>0.75</v>
      </c>
      <c r="U25" s="75">
        <f>IFERROR(VLOOKUP($C25,Sheet5!$C:$K,COLUMN(Sheet5!I$2)-2,0),"")</f>
        <v>1</v>
      </c>
    </row>
    <row r="26" spans="2:21" hidden="1" x14ac:dyDescent="0.2">
      <c r="B26" s="46">
        <v>16</v>
      </c>
      <c r="C26" s="60" t="str">
        <f>VLOOKUP($B26,'4'!$A$80:$AK$111,COLUMN('4'!Z$1),0)</f>
        <v>大庆联家优选</v>
      </c>
      <c r="D26" s="157" t="str">
        <f>VLOOKUP(C26,'4'!AL:AM,2,0)</f>
        <v>大庆城区西所</v>
      </c>
      <c r="E26" s="119">
        <f>VLOOKUP($B26,'4'!$A$80:$AK$111,COLUMN('4'!AA$1),0)</f>
        <v>150</v>
      </c>
      <c r="F26" s="120">
        <f>VLOOKUP($B26,'4'!$A$80:$AK$111,COLUMN('4'!AB$1),0)</f>
        <v>365</v>
      </c>
      <c r="G26" s="121">
        <f>VLOOKUP($B26,'4'!$A$80:$AK$111,COLUMN('4'!AC$1),0)</f>
        <v>290</v>
      </c>
      <c r="H26" s="61">
        <f>VLOOKUP($B26,'4'!$A$80:$AK$111,COLUMN('4'!AD$1),0)</f>
        <v>0.19047619047619047</v>
      </c>
      <c r="I26" s="62">
        <f>VLOOKUP($B26,'4'!$A$80:$AK$111,COLUMN('4'!AE$1),0)</f>
        <v>6.4139941690962043E-2</v>
      </c>
      <c r="J26" s="63">
        <f>VLOOKUP($B26,'4'!$A$80:$AK$111,COLUMN('4'!AF$1),0)</f>
        <v>0.10266159695817478</v>
      </c>
      <c r="K26" s="119">
        <f>VLOOKUP($B26,'4'!$A$80:$AK$111,COLUMN('4'!AG$1),0)</f>
        <v>287.5</v>
      </c>
      <c r="L26" s="120">
        <f>VLOOKUP($B26,'4'!$A$80:$AK$111,COLUMN('4'!AH$1),0)</f>
        <v>255</v>
      </c>
      <c r="M26" s="62">
        <f>VLOOKUP($B26,'4'!$A$80:$AK$111,COLUMN('4'!AI$1),0)</f>
        <v>0.12745098039215685</v>
      </c>
      <c r="N26" s="120">
        <f>VLOOKUP($B26,'4'!$A$80:$AK$111,COLUMN('4'!AJ$1),0)</f>
        <v>287.5</v>
      </c>
      <c r="O26" s="63">
        <f>VLOOKUP($B26,'4'!$A$80:$AK$111,COLUMN('4'!AK$1),0)</f>
        <v>1</v>
      </c>
      <c r="P26" s="87">
        <f>IFERROR(VLOOKUP($C26,Sheet5!$C:$K,COLUMN(Sheet5!D$2)-2,0),"")</f>
        <v>0.918604651162791</v>
      </c>
      <c r="Q26" s="148">
        <f>IFERROR(VLOOKUP($C26,Sheet5!$C:$K,COLUMN(Sheet5!E$2)-2,0),"")</f>
        <v>0.29587155963302797</v>
      </c>
      <c r="R26" s="88">
        <f>IFERROR(VLOOKUP($C26,Sheet5!$C:$K,COLUMN(Sheet5!F$2)-2,0),"")</f>
        <v>0.42900763358778599</v>
      </c>
      <c r="S26" s="88">
        <f>IFERROR(VLOOKUP($C26,Sheet5!$C:$K,COLUMN(Sheet5!G$2)-2,0),"")</f>
        <v>0.55284552845528501</v>
      </c>
      <c r="T26" s="88">
        <f>IFERROR(VLOOKUP($C26,Sheet5!$C:$K,COLUMN(Sheet5!H$2)-2,0),"")</f>
        <v>0.37735849056603799</v>
      </c>
      <c r="U26" s="75">
        <f>IFERROR(VLOOKUP($C26,Sheet5!$C:$K,COLUMN(Sheet5!I$2)-2,0),"")</f>
        <v>0.36065573770491804</v>
      </c>
    </row>
    <row r="27" spans="2:21" hidden="1" x14ac:dyDescent="0.2">
      <c r="B27" s="46">
        <v>17</v>
      </c>
      <c r="C27" s="60" t="str">
        <f>VLOOKUP($B27,'4'!$A$80:$AK$111,COLUMN('4'!Z$1),0)</f>
        <v>孙吴起浩</v>
      </c>
      <c r="D27" s="157" t="str">
        <f>VLOOKUP(C27,'4'!AL:AM,2,0)</f>
        <v>海伦外埠所</v>
      </c>
      <c r="E27" s="119">
        <f>VLOOKUP($B27,'4'!$A$80:$AK$111,COLUMN('4'!AA$1),0)</f>
        <v>100</v>
      </c>
      <c r="F27" s="120">
        <f>VLOOKUP($B27,'4'!$A$80:$AK$111,COLUMN('4'!AB$1),0)</f>
        <v>131</v>
      </c>
      <c r="G27" s="121">
        <f>VLOOKUP($B27,'4'!$A$80:$AK$111,COLUMN('4'!AC$1),0)</f>
        <v>280</v>
      </c>
      <c r="H27" s="61">
        <f>VLOOKUP($B27,'4'!$A$80:$AK$111,COLUMN('4'!AD$1),0)</f>
        <v>0.25</v>
      </c>
      <c r="I27" s="62">
        <f>VLOOKUP($B27,'4'!$A$80:$AK$111,COLUMN('4'!AE$1),0)</f>
        <v>7.692307692307665E-3</v>
      </c>
      <c r="J27" s="63">
        <f>VLOOKUP($B27,'4'!$A$80:$AK$111,COLUMN('4'!AF$1),0)</f>
        <v>-0.18840579710144911</v>
      </c>
      <c r="K27" s="119">
        <f>VLOOKUP($B27,'4'!$A$80:$AK$111,COLUMN('4'!AG$1),0)</f>
        <v>125</v>
      </c>
      <c r="L27" s="120">
        <f>VLOOKUP($B27,'4'!$A$80:$AK$111,COLUMN('4'!AH$1),0)</f>
        <v>113</v>
      </c>
      <c r="M27" s="62">
        <f>VLOOKUP($B27,'4'!$A$80:$AK$111,COLUMN('4'!AI$1),0)</f>
        <v>0.10619469026548667</v>
      </c>
      <c r="N27" s="120">
        <f>VLOOKUP($B27,'4'!$A$80:$AK$111,COLUMN('4'!AJ$1),0)</f>
        <v>125</v>
      </c>
      <c r="O27" s="63">
        <f>VLOOKUP($B27,'4'!$A$80:$AK$111,COLUMN('4'!AK$1),0)</f>
        <v>1</v>
      </c>
      <c r="P27" s="87">
        <f>IFERROR(VLOOKUP($C27,Sheet5!$C:$K,COLUMN(Sheet5!D$2)-2,0),"")</f>
        <v>1</v>
      </c>
      <c r="Q27" s="148">
        <f>IFERROR(VLOOKUP($C27,Sheet5!$C:$K,COLUMN(Sheet5!E$2)-2,0),"")</f>
        <v>1</v>
      </c>
      <c r="R27" s="88">
        <f>IFERROR(VLOOKUP($C27,Sheet5!$C:$K,COLUMN(Sheet5!F$2)-2,0),"")</f>
        <v>1</v>
      </c>
      <c r="S27" s="88">
        <f>IFERROR(VLOOKUP($C27,Sheet5!$C:$K,COLUMN(Sheet5!G$2)-2,0),"")</f>
        <v>1</v>
      </c>
      <c r="T27" s="88">
        <f>IFERROR(VLOOKUP($C27,Sheet5!$C:$K,COLUMN(Sheet5!H$2)-2,0),"")</f>
        <v>1</v>
      </c>
      <c r="U27" s="75">
        <f>IFERROR(VLOOKUP($C27,Sheet5!$C:$K,COLUMN(Sheet5!I$2)-2,0),"")</f>
        <v>1</v>
      </c>
    </row>
    <row r="28" spans="2:21" hidden="1" x14ac:dyDescent="0.2">
      <c r="B28" s="46">
        <v>18</v>
      </c>
      <c r="C28" s="47" t="str">
        <f>VLOOKUP($B28,'4'!$A$80:$AK$111,COLUMN('4'!Z$1),0)</f>
        <v>安达祥鑫</v>
      </c>
      <c r="D28" s="157" t="str">
        <f>VLOOKUP(C28,'4'!AL:AM,2,0)</f>
        <v>肇东外埠所</v>
      </c>
      <c r="E28" s="119">
        <f>VLOOKUP($B28,'4'!$A$80:$AK$111,COLUMN('4'!AA$1),0)</f>
        <v>150</v>
      </c>
      <c r="F28" s="120">
        <f>VLOOKUP($B28,'4'!$A$80:$AK$111,COLUMN('4'!AB$1),0)</f>
        <v>450</v>
      </c>
      <c r="G28" s="121">
        <f>VLOOKUP($B28,'4'!$A$80:$AK$111,COLUMN('4'!AC$1),0)</f>
        <v>180</v>
      </c>
      <c r="H28" s="48">
        <f>VLOOKUP($B28,'4'!$A$80:$AK$111,COLUMN('4'!AD$1),0)</f>
        <v>-0.11764705882352955</v>
      </c>
      <c r="I28" s="49">
        <f>VLOOKUP($B28,'4'!$A$80:$AK$111,COLUMN('4'!AE$1),0)</f>
        <v>-1.9607843137254943E-2</v>
      </c>
      <c r="J28" s="50">
        <f>VLOOKUP($B28,'4'!$A$80:$AK$111,COLUMN('4'!AF$1),0)</f>
        <v>-0.21052631578947378</v>
      </c>
      <c r="K28" s="119">
        <f>VLOOKUP($B28,'4'!$A$80:$AK$111,COLUMN('4'!AG$1),0)</f>
        <v>212.5</v>
      </c>
      <c r="L28" s="120">
        <f>VLOOKUP($B28,'4'!$A$80:$AK$111,COLUMN('4'!AH$1),0)</f>
        <v>210</v>
      </c>
      <c r="M28" s="49">
        <f>VLOOKUP($B28,'4'!$A$80:$AK$111,COLUMN('4'!AI$1),0)</f>
        <v>1.1904761904761862E-2</v>
      </c>
      <c r="N28" s="120">
        <f>VLOOKUP($B28,'4'!$A$80:$AK$111,COLUMN('4'!AJ$1),0)</f>
        <v>212.5</v>
      </c>
      <c r="O28" s="63">
        <f>VLOOKUP($B28,'4'!$A$80:$AK$111,COLUMN('4'!AK$1),0)</f>
        <v>1</v>
      </c>
      <c r="P28" s="87">
        <f>IFERROR(VLOOKUP($C28,Sheet5!$C:$K,COLUMN(Sheet5!D$2)-2,0),"")</f>
        <v>0.86713286713286708</v>
      </c>
      <c r="Q28" s="148">
        <f>IFERROR(VLOOKUP($C28,Sheet5!$C:$K,COLUMN(Sheet5!E$2)-2,0),"")</f>
        <v>0.56741573033707904</v>
      </c>
      <c r="R28" s="88">
        <f>IFERROR(VLOOKUP($C28,Sheet5!$C:$K,COLUMN(Sheet5!F$2)-2,0),"")</f>
        <v>0.54676258992805804</v>
      </c>
      <c r="S28" s="88">
        <f>IFERROR(VLOOKUP($C28,Sheet5!$C:$K,COLUMN(Sheet5!G$2)-2,0),"")</f>
        <v>0.6</v>
      </c>
      <c r="T28" s="88">
        <f>IFERROR(VLOOKUP($C28,Sheet5!$C:$K,COLUMN(Sheet5!H$2)-2,0),"")</f>
        <v>0.58100558659217905</v>
      </c>
      <c r="U28" s="75">
        <f>IFERROR(VLOOKUP($C28,Sheet5!$C:$K,COLUMN(Sheet5!I$2)-2,0),"")</f>
        <v>0.72413793103448298</v>
      </c>
    </row>
    <row r="29" spans="2:21" hidden="1" x14ac:dyDescent="0.2">
      <c r="B29" s="46">
        <v>19</v>
      </c>
      <c r="C29" s="60" t="str">
        <f>VLOOKUP($B29,'4'!$A$80:$AK$111,COLUMN('4'!Z$1),0)</f>
        <v>海伦晓惠</v>
      </c>
      <c r="D29" s="157" t="str">
        <f>VLOOKUP(C29,'4'!AL:AM,2,0)</f>
        <v>海伦外埠所</v>
      </c>
      <c r="E29" s="119">
        <f>VLOOKUP($B29,'4'!$A$80:$AK$111,COLUMN('4'!AA$1),0)</f>
        <v>170</v>
      </c>
      <c r="F29" s="120">
        <f>VLOOKUP($B29,'4'!$A$80:$AK$111,COLUMN('4'!AB$1),0)</f>
        <v>580</v>
      </c>
      <c r="G29" s="121">
        <f>VLOOKUP($B29,'4'!$A$80:$AK$111,COLUMN('4'!AC$1),0)</f>
        <v>530</v>
      </c>
      <c r="H29" s="61">
        <f>VLOOKUP($B29,'4'!$A$80:$AK$111,COLUMN('4'!AD$1),0)</f>
        <v>-0.15000000000000002</v>
      </c>
      <c r="I29" s="62">
        <f>VLOOKUP($B29,'4'!$A$80:$AK$111,COLUMN('4'!AE$1),0)</f>
        <v>0.31818181818181812</v>
      </c>
      <c r="J29" s="63">
        <f>VLOOKUP($B29,'4'!$A$80:$AK$111,COLUMN('4'!AF$1),0)</f>
        <v>0.28019323671497598</v>
      </c>
      <c r="K29" s="119">
        <f>VLOOKUP($B29,'4'!$A$80:$AK$111,COLUMN('4'!AG$1),0)</f>
        <v>537.5</v>
      </c>
      <c r="L29" s="120">
        <f>VLOOKUP($B29,'4'!$A$80:$AK$111,COLUMN('4'!AH$1),0)</f>
        <v>566</v>
      </c>
      <c r="M29" s="62">
        <f>VLOOKUP($B29,'4'!$A$80:$AK$111,COLUMN('4'!AI$1),0)</f>
        <v>-5.0353356890459389E-2</v>
      </c>
      <c r="N29" s="120">
        <f>VLOOKUP($B29,'4'!$A$80:$AK$111,COLUMN('4'!AJ$1),0)</f>
        <v>537.5</v>
      </c>
      <c r="O29" s="63">
        <f>VLOOKUP($B29,'4'!$A$80:$AK$111,COLUMN('4'!AK$1),0)</f>
        <v>1</v>
      </c>
      <c r="P29" s="87">
        <f>IFERROR(VLOOKUP($C29,Sheet5!$C:$K,COLUMN(Sheet5!D$2)-2,0),"")</f>
        <v>0.83146067415730296</v>
      </c>
      <c r="Q29" s="148">
        <f>IFERROR(VLOOKUP($C29,Sheet5!$C:$K,COLUMN(Sheet5!E$2)-2,0),"")</f>
        <v>0.71106557377049195</v>
      </c>
      <c r="R29" s="88">
        <f>IFERROR(VLOOKUP($C29,Sheet5!$C:$K,COLUMN(Sheet5!F$2)-2,0),"")</f>
        <v>0.71111111111111103</v>
      </c>
      <c r="S29" s="88">
        <f>IFERROR(VLOOKUP($C29,Sheet5!$C:$K,COLUMN(Sheet5!G$2)-2,0),"")</f>
        <v>0.82142857142857095</v>
      </c>
      <c r="T29" s="88">
        <f>IFERROR(VLOOKUP($C29,Sheet5!$C:$K,COLUMN(Sheet5!H$2)-2,0),"")</f>
        <v>0.76591375770020509</v>
      </c>
      <c r="U29" s="75">
        <f>IFERROR(VLOOKUP($C29,Sheet5!$C:$K,COLUMN(Sheet5!I$2)-2,0),"")</f>
        <v>0.8</v>
      </c>
    </row>
    <row r="30" spans="2:21" hidden="1" x14ac:dyDescent="0.2">
      <c r="B30" s="46">
        <v>20</v>
      </c>
      <c r="C30" s="60" t="str">
        <f>VLOOKUP($B30,'4'!$A$80:$AK$111,COLUMN('4'!Z$1),0)</f>
        <v>望奎坤海</v>
      </c>
      <c r="D30" s="157" t="str">
        <f>VLOOKUP(C30,'4'!AL:AM,2,0)</f>
        <v>伊春外埠所</v>
      </c>
      <c r="E30" s="119">
        <f>VLOOKUP($B30,'4'!$A$80:$AK$111,COLUMN('4'!AA$1),0)</f>
        <v>255</v>
      </c>
      <c r="F30" s="120">
        <f>VLOOKUP($B30,'4'!$A$80:$AK$111,COLUMN('4'!AB$1),0)</f>
        <v>390</v>
      </c>
      <c r="G30" s="121">
        <f>VLOOKUP($B30,'4'!$A$80:$AK$111,COLUMN('4'!AC$1),0)</f>
        <v>240</v>
      </c>
      <c r="H30" s="61">
        <f>VLOOKUP($B30,'4'!$A$80:$AK$111,COLUMN('4'!AD$1),0)</f>
        <v>-0.16118421052631571</v>
      </c>
      <c r="I30" s="62">
        <f>VLOOKUP($B30,'4'!$A$80:$AK$111,COLUMN('4'!AE$1),0)</f>
        <v>-5.339805825242705E-2</v>
      </c>
      <c r="J30" s="63">
        <f>VLOOKUP($B30,'4'!$A$80:$AK$111,COLUMN('4'!AF$1),0)</f>
        <v>0.11627906976744184</v>
      </c>
      <c r="K30" s="119">
        <f>VLOOKUP($B30,'4'!$A$80:$AK$111,COLUMN('4'!AG$1),0)</f>
        <v>462.5</v>
      </c>
      <c r="L30" s="120">
        <f>VLOOKUP($B30,'4'!$A$80:$AK$111,COLUMN('4'!AH$1),0)</f>
        <v>510</v>
      </c>
      <c r="M30" s="62">
        <f>VLOOKUP($B30,'4'!$A$80:$AK$111,COLUMN('4'!AI$1),0)</f>
        <v>-9.3137254901960786E-2</v>
      </c>
      <c r="N30" s="120">
        <f>VLOOKUP($B30,'4'!$A$80:$AK$111,COLUMN('4'!AJ$1),0)</f>
        <v>462.5</v>
      </c>
      <c r="O30" s="63">
        <f>VLOOKUP($B30,'4'!$A$80:$AK$111,COLUMN('4'!AK$1),0)</f>
        <v>1</v>
      </c>
      <c r="P30" s="87">
        <f>IFERROR(VLOOKUP($C30,Sheet5!$C:$K,COLUMN(Sheet5!D$2)-2,0),"")</f>
        <v>1</v>
      </c>
      <c r="Q30" s="148">
        <f>IFERROR(VLOOKUP($C30,Sheet5!$C:$K,COLUMN(Sheet5!E$2)-2,0),"")</f>
        <v>1</v>
      </c>
      <c r="R30" s="88">
        <f>IFERROR(VLOOKUP($C30,Sheet5!$C:$K,COLUMN(Sheet5!F$2)-2,0),"")</f>
        <v>0.99762470308788598</v>
      </c>
      <c r="S30" s="88">
        <f>IFERROR(VLOOKUP($C30,Sheet5!$C:$K,COLUMN(Sheet5!G$2)-2,0),"")</f>
        <v>1</v>
      </c>
      <c r="T30" s="88">
        <f>IFERROR(VLOOKUP($C30,Sheet5!$C:$K,COLUMN(Sheet5!H$2)-2,0),"")</f>
        <v>1</v>
      </c>
      <c r="U30" s="75">
        <f>IFERROR(VLOOKUP($C30,Sheet5!$C:$K,COLUMN(Sheet5!I$2)-2,0),"")</f>
        <v>1</v>
      </c>
    </row>
    <row r="31" spans="2:21" hidden="1" x14ac:dyDescent="0.2">
      <c r="B31" s="46">
        <v>21</v>
      </c>
      <c r="C31" s="60" t="str">
        <f>VLOOKUP($B31,'4'!$A$80:$AK$111,COLUMN('4'!Z$1),0)</f>
        <v>大同力运丰</v>
      </c>
      <c r="D31" s="157" t="str">
        <f>VLOOKUP(C31,'4'!AL:AM,2,0)</f>
        <v>肇东外埠所</v>
      </c>
      <c r="E31" s="119">
        <f>VLOOKUP($B31,'4'!$A$80:$AK$111,COLUMN('4'!AA$1),0)</f>
        <v>50</v>
      </c>
      <c r="F31" s="120">
        <f>VLOOKUP($B31,'4'!$A$80:$AK$111,COLUMN('4'!AB$1),0)</f>
        <v>115</v>
      </c>
      <c r="G31" s="121">
        <f>VLOOKUP($B31,'4'!$A$80:$AK$111,COLUMN('4'!AC$1),0)</f>
        <v>80</v>
      </c>
      <c r="H31" s="61">
        <f>VLOOKUP($B31,'4'!$A$80:$AK$111,COLUMN('4'!AD$1),0)</f>
        <v>-0.5</v>
      </c>
      <c r="I31" s="62">
        <f>VLOOKUP($B31,'4'!$A$80:$AK$111,COLUMN('4'!AE$1),0)</f>
        <v>-0.50643776824034337</v>
      </c>
      <c r="J31" s="63">
        <f>VLOOKUP($B31,'4'!$A$80:$AK$111,COLUMN('4'!AF$1),0)</f>
        <v>-0.62264150943396224</v>
      </c>
      <c r="K31" s="119">
        <f>VLOOKUP($B31,'4'!$A$80:$AK$111,COLUMN('4'!AG$1),0)</f>
        <v>250</v>
      </c>
      <c r="L31" s="120">
        <f>VLOOKUP($B31,'4'!$A$80:$AK$111,COLUMN('4'!AH$1),0)</f>
        <v>280</v>
      </c>
      <c r="M31" s="62">
        <f>VLOOKUP($B31,'4'!$A$80:$AK$111,COLUMN('4'!AI$1),0)</f>
        <v>-0.1071428571428571</v>
      </c>
      <c r="N31" s="120">
        <f>VLOOKUP($B31,'4'!$A$80:$AK$111,COLUMN('4'!AJ$1),0)</f>
        <v>250</v>
      </c>
      <c r="O31" s="63">
        <f>VLOOKUP($B31,'4'!$A$80:$AK$111,COLUMN('4'!AK$1),0)</f>
        <v>1</v>
      </c>
      <c r="P31" s="87">
        <f>IFERROR(VLOOKUP($C31,Sheet5!$C:$K,COLUMN(Sheet5!D$2)-2,0),"")</f>
        <v>1</v>
      </c>
      <c r="Q31" s="148">
        <f>IFERROR(VLOOKUP($C31,Sheet5!$C:$K,COLUMN(Sheet5!E$2)-2,0),"")</f>
        <v>1</v>
      </c>
      <c r="R31" s="88">
        <f>IFERROR(VLOOKUP($C31,Sheet5!$C:$K,COLUMN(Sheet5!F$2)-2,0),"")</f>
        <v>1</v>
      </c>
      <c r="S31" s="88">
        <f>IFERROR(VLOOKUP($C31,Sheet5!$C:$K,COLUMN(Sheet5!G$2)-2,0),"")</f>
        <v>1</v>
      </c>
      <c r="T31" s="88">
        <f>IFERROR(VLOOKUP($C31,Sheet5!$C:$K,COLUMN(Sheet5!H$2)-2,0),"")</f>
        <v>1</v>
      </c>
      <c r="U31" s="75">
        <f>IFERROR(VLOOKUP($C31,Sheet5!$C:$K,COLUMN(Sheet5!I$2)-2,0),"")</f>
        <v>1</v>
      </c>
    </row>
    <row r="32" spans="2:21" hidden="1" x14ac:dyDescent="0.2">
      <c r="B32" s="46">
        <v>22</v>
      </c>
      <c r="C32" s="60" t="str">
        <f>VLOOKUP($B32,'4'!$A$80:$AK$111,COLUMN('4'!Z$1),0)</f>
        <v>杜蒙悍菲</v>
      </c>
      <c r="D32" s="157" t="str">
        <f>VLOOKUP(C32,'4'!AL:AM,2,0)</f>
        <v>肇东外埠所</v>
      </c>
      <c r="E32" s="119">
        <f>VLOOKUP($B32,'4'!$A$80:$AK$111,COLUMN('4'!AA$1),0)</f>
        <v>128</v>
      </c>
      <c r="F32" s="120">
        <f>VLOOKUP($B32,'4'!$A$80:$AK$111,COLUMN('4'!AB$1),0)</f>
        <v>245</v>
      </c>
      <c r="G32" s="121">
        <f>VLOOKUP($B32,'4'!$A$80:$AK$111,COLUMN('4'!AC$1),0)</f>
        <v>215</v>
      </c>
      <c r="H32" s="61">
        <f>VLOOKUP($B32,'4'!$A$80:$AK$111,COLUMN('4'!AD$1),0)</f>
        <v>-0.22424242424242424</v>
      </c>
      <c r="I32" s="62">
        <f>VLOOKUP($B32,'4'!$A$80:$AK$111,COLUMN('4'!AE$1),0)</f>
        <v>-2.0000000000000018E-2</v>
      </c>
      <c r="J32" s="63">
        <f>VLOOKUP($B32,'4'!$A$80:$AK$111,COLUMN('4'!AF$1),0)</f>
        <v>-0.31746031746031744</v>
      </c>
      <c r="K32" s="119">
        <f>VLOOKUP($B32,'4'!$A$80:$AK$111,COLUMN('4'!AG$1),0)</f>
        <v>137.5</v>
      </c>
      <c r="L32" s="120">
        <f>VLOOKUP($B32,'4'!$A$80:$AK$111,COLUMN('4'!AH$1),0)</f>
        <v>200</v>
      </c>
      <c r="M32" s="62">
        <f>VLOOKUP($B32,'4'!$A$80:$AK$111,COLUMN('4'!AI$1),0)</f>
        <v>-0.3125</v>
      </c>
      <c r="N32" s="120">
        <f>VLOOKUP($B32,'4'!$A$80:$AK$111,COLUMN('4'!AJ$1),0)</f>
        <v>137.5</v>
      </c>
      <c r="O32" s="63">
        <f>VLOOKUP($B32,'4'!$A$80:$AK$111,COLUMN('4'!AK$1),0)</f>
        <v>1</v>
      </c>
      <c r="P32" s="87" t="str">
        <f>IFERROR(VLOOKUP($C32,Sheet5!$C:$K,COLUMN(Sheet5!D$2)-2,0),"")</f>
        <v/>
      </c>
      <c r="Q32" s="148" t="str">
        <f>IFERROR(VLOOKUP($C32,Sheet5!$C:$K,COLUMN(Sheet5!E$2)-2,0),"")</f>
        <v/>
      </c>
      <c r="R32" s="88" t="str">
        <f>IFERROR(VLOOKUP($C32,Sheet5!$C:$K,COLUMN(Sheet5!F$2)-2,0),"")</f>
        <v/>
      </c>
      <c r="S32" s="88" t="str">
        <f>IFERROR(VLOOKUP($C32,Sheet5!$C:$K,COLUMN(Sheet5!G$2)-2,0),"")</f>
        <v/>
      </c>
      <c r="T32" s="88" t="str">
        <f>IFERROR(VLOOKUP($C32,Sheet5!$C:$K,COLUMN(Sheet5!H$2)-2,0),"")</f>
        <v/>
      </c>
      <c r="U32" s="75" t="str">
        <f>IFERROR(VLOOKUP($C32,Sheet5!$C:$K,COLUMN(Sheet5!I$2)-2,0),"")</f>
        <v/>
      </c>
    </row>
    <row r="33" spans="2:24" hidden="1" x14ac:dyDescent="0.2">
      <c r="B33" s="46">
        <v>23</v>
      </c>
      <c r="C33" s="60" t="str">
        <f>VLOOKUP($B33,'4'!$A$80:$AK$111,COLUMN('4'!Z$1),0)</f>
        <v>林甸鑫铭鑫</v>
      </c>
      <c r="D33" s="157" t="str">
        <f>VLOOKUP(C33,'4'!AL:AM,2,0)</f>
        <v>肇东外埠所</v>
      </c>
      <c r="E33" s="119">
        <f>VLOOKUP($B33,'4'!$A$80:$AK$111,COLUMN('4'!AA$1),0)</f>
        <v>162</v>
      </c>
      <c r="F33" s="120">
        <f>VLOOKUP($B33,'4'!$A$80:$AK$111,COLUMN('4'!AB$1),0)</f>
        <v>345</v>
      </c>
      <c r="G33" s="121">
        <f>VLOOKUP($B33,'4'!$A$80:$AK$111,COLUMN('4'!AC$1),0)</f>
        <v>360</v>
      </c>
      <c r="H33" s="61">
        <f>VLOOKUP($B33,'4'!$A$80:$AK$111,COLUMN('4'!AD$1),0)</f>
        <v>-0.16923076923076918</v>
      </c>
      <c r="I33" s="62">
        <f>VLOOKUP($B33,'4'!$A$80:$AK$111,COLUMN('4'!AE$1),0)</f>
        <v>0.27777777777777768</v>
      </c>
      <c r="J33" s="63">
        <f>VLOOKUP($B33,'4'!$A$80:$AK$111,COLUMN('4'!AF$1),0)</f>
        <v>0.41176470588235281</v>
      </c>
      <c r="K33" s="119">
        <f>VLOOKUP($B33,'4'!$A$80:$AK$111,COLUMN('4'!AG$1),0)</f>
        <v>151.25</v>
      </c>
      <c r="L33" s="120">
        <f>VLOOKUP($B33,'4'!$A$80:$AK$111,COLUMN('4'!AH$1),0)</f>
        <v>225</v>
      </c>
      <c r="M33" s="62">
        <f>VLOOKUP($B33,'4'!$A$80:$AK$111,COLUMN('4'!AI$1),0)</f>
        <v>-0.32777777777777772</v>
      </c>
      <c r="N33" s="120">
        <f>VLOOKUP($B33,'4'!$A$80:$AK$111,COLUMN('4'!AJ$1),0)</f>
        <v>151.25</v>
      </c>
      <c r="O33" s="63">
        <f>VLOOKUP($B33,'4'!$A$80:$AK$111,COLUMN('4'!AK$1),0)</f>
        <v>1</v>
      </c>
      <c r="P33" s="87">
        <f>IFERROR(VLOOKUP($C33,Sheet5!$C:$K,COLUMN(Sheet5!D$2)-2,0),"")</f>
        <v>1</v>
      </c>
      <c r="Q33" s="148">
        <f>IFERROR(VLOOKUP($C33,Sheet5!$C:$K,COLUMN(Sheet5!E$2)-2,0),"")</f>
        <v>1</v>
      </c>
      <c r="R33" s="88">
        <f>IFERROR(VLOOKUP($C33,Sheet5!$C:$K,COLUMN(Sheet5!F$2)-2,0),"")</f>
        <v>1</v>
      </c>
      <c r="S33" s="88">
        <f>IFERROR(VLOOKUP($C33,Sheet5!$C:$K,COLUMN(Sheet5!G$2)-2,0),"")</f>
        <v>0</v>
      </c>
      <c r="T33" s="88">
        <f>IFERROR(VLOOKUP($C33,Sheet5!$C:$K,COLUMN(Sheet5!H$2)-2,0),"")</f>
        <v>1</v>
      </c>
      <c r="U33" s="75">
        <f>IFERROR(VLOOKUP($C33,Sheet5!$C:$K,COLUMN(Sheet5!I$2)-2,0),"")</f>
        <v>0</v>
      </c>
    </row>
    <row r="34" spans="2:24" hidden="1" x14ac:dyDescent="0.2">
      <c r="B34" s="46">
        <v>24</v>
      </c>
      <c r="C34" s="60" t="str">
        <f>VLOOKUP($B34,'4'!$A$80:$AK$111,COLUMN('4'!Z$1),0)</f>
        <v>大庆财亿</v>
      </c>
      <c r="D34" s="157" t="str">
        <f>VLOOKUP(C34,'4'!AL:AM,2,0)</f>
        <v>大庆城区东所</v>
      </c>
      <c r="E34" s="119">
        <f>VLOOKUP($B34,'4'!$A$80:$AK$111,COLUMN('4'!AA$1),0)</f>
        <v>541</v>
      </c>
      <c r="F34" s="120">
        <f>VLOOKUP($B34,'4'!$A$80:$AK$111,COLUMN('4'!AB$1),0)</f>
        <v>1132</v>
      </c>
      <c r="G34" s="121">
        <f>VLOOKUP($B34,'4'!$A$80:$AK$111,COLUMN('4'!AC$1),0)</f>
        <v>605</v>
      </c>
      <c r="H34" s="61">
        <f>VLOOKUP($B34,'4'!$A$80:$AK$111,COLUMN('4'!AD$1),0)</f>
        <v>-0.17530487804878048</v>
      </c>
      <c r="I34" s="62">
        <f>VLOOKUP($B34,'4'!$A$80:$AK$111,COLUMN('4'!AE$1),0)</f>
        <v>5.4986020503261734E-2</v>
      </c>
      <c r="J34" s="63">
        <f>VLOOKUP($B34,'4'!$A$80:$AK$111,COLUMN('4'!AF$1),0)</f>
        <v>0.27100840336134446</v>
      </c>
      <c r="K34" s="119">
        <f>VLOOKUP($B34,'4'!$A$80:$AK$111,COLUMN('4'!AG$1),0)</f>
        <v>742.5</v>
      </c>
      <c r="L34" s="120">
        <f>VLOOKUP($B34,'4'!$A$80:$AK$111,COLUMN('4'!AH$1),0)</f>
        <v>1207</v>
      </c>
      <c r="M34" s="62">
        <f>VLOOKUP($B34,'4'!$A$80:$AK$111,COLUMN('4'!AI$1),0)</f>
        <v>-0.38483844241922116</v>
      </c>
      <c r="N34" s="120">
        <f>VLOOKUP($B34,'4'!$A$80:$AK$111,COLUMN('4'!AJ$1),0)</f>
        <v>742.5</v>
      </c>
      <c r="O34" s="63">
        <f>VLOOKUP($B34,'4'!$A$80:$AK$111,COLUMN('4'!AK$1),0)</f>
        <v>1</v>
      </c>
      <c r="P34" s="87">
        <f>IFERROR(VLOOKUP($C34,Sheet5!$C:$K,COLUMN(Sheet5!D$2)-2,0),"")</f>
        <v>0.920595533498759</v>
      </c>
      <c r="Q34" s="148">
        <f>IFERROR(VLOOKUP($C34,Sheet5!$C:$K,COLUMN(Sheet5!E$2)-2,0),"")</f>
        <v>0.20433996383363501</v>
      </c>
      <c r="R34" s="88">
        <f>IFERROR(VLOOKUP($C34,Sheet5!$C:$K,COLUMN(Sheet5!F$2)-2,0),"")</f>
        <v>0.47180192572214602</v>
      </c>
      <c r="S34" s="88">
        <f>IFERROR(VLOOKUP($C34,Sheet5!$C:$K,COLUMN(Sheet5!G$2)-2,0),"")</f>
        <v>0.585798816568047</v>
      </c>
      <c r="T34" s="88">
        <f>IFERROR(VLOOKUP($C34,Sheet5!$C:$K,COLUMN(Sheet5!H$2)-2,0),"")</f>
        <v>0.45108695652173902</v>
      </c>
      <c r="U34" s="75">
        <f>IFERROR(VLOOKUP($C34,Sheet5!$C:$K,COLUMN(Sheet5!I$2)-2,0),"")</f>
        <v>0.351190476190476</v>
      </c>
    </row>
    <row r="35" spans="2:24" hidden="1" x14ac:dyDescent="0.2">
      <c r="B35" s="46">
        <v>25</v>
      </c>
      <c r="C35" s="60" t="str">
        <f>VLOOKUP($B35,'4'!$A$80:$AK$111,COLUMN('4'!Z$1),0)</f>
        <v>红岗萌华</v>
      </c>
      <c r="D35" s="157" t="str">
        <f>VLOOKUP(C35,'4'!AL:AM,2,0)</f>
        <v>肇东外埠所</v>
      </c>
      <c r="E35" s="119">
        <f>VLOOKUP($B35,'4'!$A$80:$AK$111,COLUMN('4'!AA$1),0)</f>
        <v>80</v>
      </c>
      <c r="F35" s="120">
        <f>VLOOKUP($B35,'4'!$A$80:$AK$111,COLUMN('4'!AB$1),0)</f>
        <v>119</v>
      </c>
      <c r="G35" s="121">
        <f>VLOOKUP($B35,'4'!$A$80:$AK$111,COLUMN('4'!AC$1),0)</f>
        <v>65</v>
      </c>
      <c r="H35" s="61">
        <f>VLOOKUP($B35,'4'!$A$80:$AK$111,COLUMN('4'!AD$1),0)</f>
        <v>0</v>
      </c>
      <c r="I35" s="62">
        <f>VLOOKUP($B35,'4'!$A$80:$AK$111,COLUMN('4'!AE$1),0)</f>
        <v>-0.20666666666666667</v>
      </c>
      <c r="J35" s="63">
        <f>VLOOKUP($B35,'4'!$A$80:$AK$111,COLUMN('4'!AF$1),0)</f>
        <v>-0.57516339869281041</v>
      </c>
      <c r="K35" s="119">
        <f>VLOOKUP($B35,'4'!$A$80:$AK$111,COLUMN('4'!AG$1),0)</f>
        <v>100</v>
      </c>
      <c r="L35" s="120">
        <f>VLOOKUP($B35,'4'!$A$80:$AK$111,COLUMN('4'!AH$1),0)</f>
        <v>200</v>
      </c>
      <c r="M35" s="62">
        <f>VLOOKUP($B35,'4'!$A$80:$AK$111,COLUMN('4'!AI$1),0)</f>
        <v>-0.5</v>
      </c>
      <c r="N35" s="120">
        <f>VLOOKUP($B35,'4'!$A$80:$AK$111,COLUMN('4'!AJ$1),0)</f>
        <v>100</v>
      </c>
      <c r="O35" s="63">
        <f>VLOOKUP($B35,'4'!$A$80:$AK$111,COLUMN('4'!AK$1),0)</f>
        <v>1</v>
      </c>
      <c r="P35" s="87">
        <f>IFERROR(VLOOKUP($C35,Sheet5!$C:$K,COLUMN(Sheet5!D$2)-2,0),"")</f>
        <v>0.97619047619047605</v>
      </c>
      <c r="Q35" s="148">
        <f>IFERROR(VLOOKUP($C35,Sheet5!$C:$K,COLUMN(Sheet5!E$2)-2,0),"")</f>
        <v>0.19607843137254899</v>
      </c>
      <c r="R35" s="88">
        <f>IFERROR(VLOOKUP($C35,Sheet5!$C:$K,COLUMN(Sheet5!F$2)-2,0),"")</f>
        <v>0.37096774193548399</v>
      </c>
      <c r="S35" s="88">
        <f>IFERROR(VLOOKUP($C35,Sheet5!$C:$K,COLUMN(Sheet5!G$2)-2,0),"")</f>
        <v>0.33333333333333298</v>
      </c>
      <c r="T35" s="88">
        <f>IFERROR(VLOOKUP($C35,Sheet5!$C:$K,COLUMN(Sheet5!H$2)-2,0),"")</f>
        <v>0.56000000000000005</v>
      </c>
      <c r="U35" s="75">
        <f>IFERROR(VLOOKUP($C35,Sheet5!$C:$K,COLUMN(Sheet5!I$2)-2,0),"")</f>
        <v>0.33333333333333298</v>
      </c>
    </row>
    <row r="36" spans="2:24" hidden="1" x14ac:dyDescent="0.2">
      <c r="B36" s="46">
        <v>26</v>
      </c>
      <c r="C36" s="60" t="str">
        <f>VLOOKUP($B36,'4'!$A$80:$AK$111,COLUMN('4'!Z$1),0)</f>
        <v>肇源晟康源</v>
      </c>
      <c r="D36" s="157" t="str">
        <f>VLOOKUP(C36,'4'!AL:AM,2,0)</f>
        <v>肇东外埠所</v>
      </c>
      <c r="E36" s="119">
        <f>VLOOKUP($B36,'4'!$A$80:$AK$111,COLUMN('4'!AA$1),0)</f>
        <v>160</v>
      </c>
      <c r="F36" s="120">
        <f>VLOOKUP($B36,'4'!$A$80:$AK$111,COLUMN('4'!AB$1),0)</f>
        <v>320</v>
      </c>
      <c r="G36" s="121">
        <f>VLOOKUP($B36,'4'!$A$80:$AK$111,COLUMN('4'!AC$1),0)</f>
        <v>190</v>
      </c>
      <c r="H36" s="61">
        <f>VLOOKUP($B36,'4'!$A$80:$AK$111,COLUMN('4'!AD$1),0)</f>
        <v>0</v>
      </c>
      <c r="I36" s="62">
        <f>VLOOKUP($B36,'4'!$A$80:$AK$111,COLUMN('4'!AE$1),0)</f>
        <v>-9.2879256965944235E-3</v>
      </c>
      <c r="J36" s="63">
        <f>VLOOKUP($B36,'4'!$A$80:$AK$111,COLUMN('4'!AF$1),0)</f>
        <v>-0.24302788844621515</v>
      </c>
      <c r="K36" s="119">
        <f>VLOOKUP($B36,'4'!$A$80:$AK$111,COLUMN('4'!AG$1),0)</f>
        <v>137.5</v>
      </c>
      <c r="L36" s="120">
        <f>VLOOKUP($B36,'4'!$A$80:$AK$111,COLUMN('4'!AH$1),0)</f>
        <v>280</v>
      </c>
      <c r="M36" s="62">
        <f>VLOOKUP($B36,'4'!$A$80:$AK$111,COLUMN('4'!AI$1),0)</f>
        <v>-0.5089285714285714</v>
      </c>
      <c r="N36" s="120">
        <f>VLOOKUP($B36,'4'!$A$80:$AK$111,COLUMN('4'!AJ$1),0)</f>
        <v>137.5</v>
      </c>
      <c r="O36" s="63">
        <f>VLOOKUP($B36,'4'!$A$80:$AK$111,COLUMN('4'!AK$1),0)</f>
        <v>1</v>
      </c>
      <c r="P36" s="87">
        <f>IFERROR(VLOOKUP($C36,Sheet5!$C:$K,COLUMN(Sheet5!D$2)-2,0),"")</f>
        <v>0.86231884057970998</v>
      </c>
      <c r="Q36" s="148">
        <f>IFERROR(VLOOKUP($C36,Sheet5!$C:$K,COLUMN(Sheet5!E$2)-2,0),"")</f>
        <v>0.82022471910112404</v>
      </c>
      <c r="R36" s="88">
        <f>IFERROR(VLOOKUP($C36,Sheet5!$C:$K,COLUMN(Sheet5!F$2)-2,0),"")</f>
        <v>0.78202247191011198</v>
      </c>
      <c r="S36" s="88">
        <f>IFERROR(VLOOKUP($C36,Sheet5!$C:$K,COLUMN(Sheet5!G$2)-2,0),"")</f>
        <v>1</v>
      </c>
      <c r="T36" s="88">
        <f>IFERROR(VLOOKUP($C36,Sheet5!$C:$K,COLUMN(Sheet5!H$2)-2,0),"")</f>
        <v>0.82584269662921306</v>
      </c>
      <c r="U36" s="75">
        <f>IFERROR(VLOOKUP($C36,Sheet5!$C:$K,COLUMN(Sheet5!I$2)-2,0),"")</f>
        <v>1</v>
      </c>
    </row>
    <row r="37" spans="2:24" x14ac:dyDescent="0.2">
      <c r="B37" s="184">
        <v>27</v>
      </c>
      <c r="C37" s="46" t="str">
        <f>VLOOKUP($B37,'4'!$A$80:$AK$111,COLUMN('4'!Z$1),0)</f>
        <v>绥化正祥</v>
      </c>
      <c r="D37" s="60" t="str">
        <f>VLOOKUP(C37,'4'!AL:AM,2,0)</f>
        <v>绥化外埠所</v>
      </c>
      <c r="E37" s="119">
        <f>VLOOKUP($B37,'4'!$A$80:$AK$111,COLUMN('4'!AA$1),0)</f>
        <v>380</v>
      </c>
      <c r="F37" s="120">
        <f>VLOOKUP($B37,'4'!$A$80:$AK$111,COLUMN('4'!AB$1),0)</f>
        <v>979</v>
      </c>
      <c r="G37" s="121">
        <f>VLOOKUP($B37,'4'!$A$80:$AK$111,COLUMN('4'!AC$1),0)</f>
        <v>300</v>
      </c>
      <c r="H37" s="61">
        <f>VLOOKUP($B37,'4'!$A$80:$AK$111,COLUMN('4'!AD$1),0)</f>
        <v>-0.175704989154013</v>
      </c>
      <c r="I37" s="62">
        <f>VLOOKUP($B37,'4'!$A$80:$AK$111,COLUMN('4'!AE$1),0)</f>
        <v>-1.0204081632653184E-3</v>
      </c>
      <c r="J37" s="63">
        <f>VLOOKUP($B37,'4'!$A$80:$AK$111,COLUMN('4'!AF$1),0)</f>
        <v>-0.35344827586206906</v>
      </c>
      <c r="K37" s="119">
        <f>VLOOKUP($B37,'4'!$A$80:$AK$111,COLUMN('4'!AG$1),0)</f>
        <v>433.75</v>
      </c>
      <c r="L37" s="120">
        <f>VLOOKUP($B37,'4'!$A$80:$AK$111,COLUMN('4'!AH$1),0)</f>
        <v>907</v>
      </c>
      <c r="M37" s="62">
        <f>VLOOKUP($B37,'4'!$A$80:$AK$111,COLUMN('4'!AI$1),0)</f>
        <v>-0.52177508269018746</v>
      </c>
      <c r="N37" s="120">
        <f>VLOOKUP($B37,'4'!$A$80:$AK$111,COLUMN('4'!AJ$1),0)</f>
        <v>433.75</v>
      </c>
      <c r="O37" s="63">
        <f>VLOOKUP($B37,'4'!$A$80:$AK$111,COLUMN('4'!AK$1),0)</f>
        <v>1</v>
      </c>
      <c r="P37" s="87">
        <f>IFERROR(VLOOKUP($C37,Sheet5!$C:$K,COLUMN(Sheet5!D$2)-2,0),"")</f>
        <v>0.67730496453900702</v>
      </c>
      <c r="Q37" s="148">
        <f>IFERROR(VLOOKUP($C37,Sheet5!$C:$K,COLUMN(Sheet5!E$2)-2,0),"")</f>
        <v>0.42965779467680598</v>
      </c>
      <c r="R37" s="88">
        <f>IFERROR(VLOOKUP($C37,Sheet5!$C:$K,COLUMN(Sheet5!F$2)-2,0),"")</f>
        <v>0.44178082191780804</v>
      </c>
      <c r="S37" s="88">
        <f>IFERROR(VLOOKUP($C37,Sheet5!$C:$K,COLUMN(Sheet5!G$2)-2,0),"")</f>
        <v>0.48571428571428599</v>
      </c>
      <c r="T37" s="88">
        <f>IFERROR(VLOOKUP($C37,Sheet5!$C:$K,COLUMN(Sheet5!H$2)-2,0),"")</f>
        <v>0.52190476190476198</v>
      </c>
      <c r="U37" s="75">
        <f>IFERROR(VLOOKUP($C37,Sheet5!$C:$K,COLUMN(Sheet5!I$2)-2,0),"")</f>
        <v>0.54368932038834894</v>
      </c>
      <c r="V37" s="107">
        <v>435</v>
      </c>
      <c r="W37" s="108">
        <v>432</v>
      </c>
      <c r="X37" s="109">
        <f>W37-V37</f>
        <v>-3</v>
      </c>
    </row>
    <row r="38" spans="2:24" x14ac:dyDescent="0.2">
      <c r="B38" s="184">
        <v>28</v>
      </c>
      <c r="C38" s="46" t="str">
        <f>VLOOKUP($B38,'4'!$A$80:$AK$111,COLUMN('4'!Z$1),0)</f>
        <v>逊克晶承鑫</v>
      </c>
      <c r="D38" s="60" t="str">
        <f>VLOOKUP(C38,'4'!AL:AM,2,0)</f>
        <v>海伦外埠所</v>
      </c>
      <c r="E38" s="119">
        <f>VLOOKUP($B38,'4'!$A$80:$AK$111,COLUMN('4'!AA$1),0)</f>
        <v>100</v>
      </c>
      <c r="F38" s="120">
        <f>VLOOKUP($B38,'4'!$A$80:$AK$111,COLUMN('4'!AB$1),0)</f>
        <v>300</v>
      </c>
      <c r="G38" s="121">
        <f>VLOOKUP($B38,'4'!$A$80:$AK$111,COLUMN('4'!AC$1),0)</f>
        <v>100</v>
      </c>
      <c r="H38" s="61">
        <f>VLOOKUP($B38,'4'!$A$80:$AK$111,COLUMN('4'!AD$1),0)</f>
        <v>-0.5</v>
      </c>
      <c r="I38" s="62">
        <f>VLOOKUP($B38,'4'!$A$80:$AK$111,COLUMN('4'!AE$1),0)</f>
        <v>-0.28229665071770338</v>
      </c>
      <c r="J38" s="75">
        <f>VLOOKUP($B38,'4'!$A$80:$AK$111,COLUMN('4'!AF$1),0)</f>
        <v>-0.7191011235955056</v>
      </c>
      <c r="K38" s="119">
        <f>VLOOKUP($B38,'4'!$A$80:$AK$111,COLUMN('4'!AG$1),0)</f>
        <v>125</v>
      </c>
      <c r="L38" s="120">
        <f>VLOOKUP($B38,'4'!$A$80:$AK$111,COLUMN('4'!AH$1),0)</f>
        <v>280</v>
      </c>
      <c r="M38" s="62">
        <f>VLOOKUP($B38,'4'!$A$80:$AK$111,COLUMN('4'!AI$1),0)</f>
        <v>-0.5535714285714286</v>
      </c>
      <c r="N38" s="120">
        <f>VLOOKUP($B38,'4'!$A$80:$AK$111,COLUMN('4'!AJ$1),0)</f>
        <v>125</v>
      </c>
      <c r="O38" s="63">
        <f>VLOOKUP($B38,'4'!$A$80:$AK$111,COLUMN('4'!AK$1),0)</f>
        <v>1</v>
      </c>
      <c r="P38" s="87">
        <f>IFERROR(VLOOKUP($C38,Sheet5!$C:$K,COLUMN(Sheet5!D$2)-2,0),"")</f>
        <v>1</v>
      </c>
      <c r="Q38" s="148">
        <f>IFERROR(VLOOKUP($C38,Sheet5!$C:$K,COLUMN(Sheet5!E$2)-2,0),"")</f>
        <v>0.85714285714285698</v>
      </c>
      <c r="R38" s="88">
        <f>IFERROR(VLOOKUP($C38,Sheet5!$C:$K,COLUMN(Sheet5!F$2)-2,0),"")</f>
        <v>0.87301587301587302</v>
      </c>
      <c r="S38" s="88">
        <f>IFERROR(VLOOKUP($C38,Sheet5!$C:$K,COLUMN(Sheet5!G$2)-2,0),"")</f>
        <v>1</v>
      </c>
      <c r="T38" s="88">
        <f>IFERROR(VLOOKUP($C38,Sheet5!$C:$K,COLUMN(Sheet5!H$2)-2,0),"")</f>
        <v>0.83928571428571397</v>
      </c>
      <c r="U38" s="75">
        <f>IFERROR(VLOOKUP($C38,Sheet5!$C:$K,COLUMN(Sheet5!I$2)-2,0),"")</f>
        <v>1</v>
      </c>
      <c r="V38" s="107">
        <v>215</v>
      </c>
      <c r="W38" s="108">
        <v>206</v>
      </c>
      <c r="X38" s="109">
        <f t="shared" ref="X38:X41" si="0">W38-V38</f>
        <v>-9</v>
      </c>
    </row>
    <row r="39" spans="2:24" x14ac:dyDescent="0.2">
      <c r="B39" s="184">
        <v>29</v>
      </c>
      <c r="C39" s="46" t="str">
        <f>VLOOKUP($B39,'4'!$A$80:$AK$111,COLUMN('4'!Z$1),0)</f>
        <v>伊春宏锦坤</v>
      </c>
      <c r="D39" s="60" t="str">
        <f>VLOOKUP(C39,'4'!AL:AM,2,0)</f>
        <v>伊春外埠所</v>
      </c>
      <c r="E39" s="119">
        <f>VLOOKUP($B39,'4'!$A$80:$AK$111,COLUMN('4'!AA$1),0)</f>
        <v>150</v>
      </c>
      <c r="F39" s="120">
        <f>VLOOKUP($B39,'4'!$A$80:$AK$111,COLUMN('4'!AB$1),0)</f>
        <v>380</v>
      </c>
      <c r="G39" s="121">
        <f>VLOOKUP($B39,'4'!$A$80:$AK$111,COLUMN('4'!AC$1),0)</f>
        <v>350</v>
      </c>
      <c r="H39" s="61">
        <f>VLOOKUP($B39,'4'!$A$80:$AK$111,COLUMN('4'!AD$1),0)</f>
        <v>-0.16201117318435754</v>
      </c>
      <c r="I39" s="62">
        <f>VLOOKUP($B39,'4'!$A$80:$AK$111,COLUMN('4'!AE$1),0)</f>
        <v>-2.8132992327365769E-2</v>
      </c>
      <c r="J39" s="63">
        <f>VLOOKUP($B39,'4'!$A$80:$AK$111,COLUMN('4'!AF$1),0)</f>
        <v>0.28205128205128194</v>
      </c>
      <c r="K39" s="119">
        <f>VLOOKUP($B39,'4'!$A$80:$AK$111,COLUMN('4'!AG$1),0)</f>
        <v>175</v>
      </c>
      <c r="L39" s="120">
        <f>VLOOKUP($B39,'4'!$A$80:$AK$111,COLUMN('4'!AH$1),0)</f>
        <v>400</v>
      </c>
      <c r="M39" s="62">
        <f>VLOOKUP($B39,'4'!$A$80:$AK$111,COLUMN('4'!AI$1),0)</f>
        <v>-0.5625</v>
      </c>
      <c r="N39" s="120">
        <f>VLOOKUP($B39,'4'!$A$80:$AK$111,COLUMN('4'!AJ$1),0)</f>
        <v>175</v>
      </c>
      <c r="O39" s="63">
        <f>VLOOKUP($B39,'4'!$A$80:$AK$111,COLUMN('4'!AK$1),0)</f>
        <v>1</v>
      </c>
      <c r="P39" s="87">
        <f>IFERROR(VLOOKUP($C39,Sheet5!$C:$K,COLUMN(Sheet5!D$2)-2,0),"")</f>
        <v>0.95918367346938793</v>
      </c>
      <c r="Q39" s="148">
        <f>IFERROR(VLOOKUP($C39,Sheet5!$C:$K,COLUMN(Sheet5!E$2)-2,0),"")</f>
        <v>0.46794871794871801</v>
      </c>
      <c r="R39" s="88">
        <f>IFERROR(VLOOKUP($C39,Sheet5!$C:$K,COLUMN(Sheet5!F$2)-2,0),"")</f>
        <v>0.41348314606741604</v>
      </c>
      <c r="S39" s="88">
        <f>IFERROR(VLOOKUP($C39,Sheet5!$C:$K,COLUMN(Sheet5!G$2)-2,0),"")</f>
        <v>0.55172413793103403</v>
      </c>
      <c r="T39" s="88">
        <f>IFERROR(VLOOKUP($C39,Sheet5!$C:$K,COLUMN(Sheet5!H$2)-2,0),"")</f>
        <v>0.48397435897435898</v>
      </c>
      <c r="U39" s="75">
        <f>IFERROR(VLOOKUP($C39,Sheet5!$C:$K,COLUMN(Sheet5!I$2)-2,0),"")</f>
        <v>0.55172413793103403</v>
      </c>
      <c r="V39" s="107">
        <v>313</v>
      </c>
      <c r="W39" s="108">
        <v>294</v>
      </c>
      <c r="X39" s="109">
        <f t="shared" si="0"/>
        <v>-19</v>
      </c>
    </row>
    <row r="40" spans="2:24" x14ac:dyDescent="0.2">
      <c r="B40" s="184">
        <v>30</v>
      </c>
      <c r="C40" s="46" t="str">
        <f>VLOOKUP($B40,'4'!$A$80:$AK$111,COLUMN('4'!Z$1),0)</f>
        <v>南岔永合</v>
      </c>
      <c r="D40" s="60" t="str">
        <f>VLOOKUP(C40,'4'!AL:AM,2,0)</f>
        <v>伊春外埠所</v>
      </c>
      <c r="E40" s="119">
        <f>VLOOKUP($B40,'4'!$A$80:$AK$111,COLUMN('4'!AA$1),0)</f>
        <v>50</v>
      </c>
      <c r="F40" s="120">
        <f>VLOOKUP($B40,'4'!$A$80:$AK$111,COLUMN('4'!AB$1),0)</f>
        <v>133</v>
      </c>
      <c r="G40" s="121">
        <f>VLOOKUP($B40,'4'!$A$80:$AK$111,COLUMN('4'!AC$1),0)</f>
        <v>100</v>
      </c>
      <c r="H40" s="61">
        <f>VLOOKUP($B40,'4'!$A$80:$AK$111,COLUMN('4'!AD$1),0)</f>
        <v>-0.44444444444444442</v>
      </c>
      <c r="I40" s="62">
        <f>VLOOKUP($B40,'4'!$A$80:$AK$111,COLUMN('4'!AE$1),0)</f>
        <v>0.66250000000000031</v>
      </c>
      <c r="J40" s="63">
        <f>VLOOKUP($B40,'4'!$A$80:$AK$111,COLUMN('4'!AF$1),0)</f>
        <v>-0.16666666666666663</v>
      </c>
      <c r="K40" s="119">
        <f>VLOOKUP($B40,'4'!$A$80:$AK$111,COLUMN('4'!AG$1),0)</f>
        <v>87.5</v>
      </c>
      <c r="L40" s="120">
        <f>VLOOKUP($B40,'4'!$A$80:$AK$111,COLUMN('4'!AH$1),0)</f>
        <v>235</v>
      </c>
      <c r="M40" s="62">
        <f>VLOOKUP($B40,'4'!$A$80:$AK$111,COLUMN('4'!AI$1),0)</f>
        <v>-0.62765957446808507</v>
      </c>
      <c r="N40" s="120">
        <f>VLOOKUP($B40,'4'!$A$80:$AK$111,COLUMN('4'!AJ$1),0)</f>
        <v>87.5</v>
      </c>
      <c r="O40" s="63">
        <f>VLOOKUP($B40,'4'!$A$80:$AK$111,COLUMN('4'!AK$1),0)</f>
        <v>1</v>
      </c>
      <c r="P40" s="87">
        <f>IFERROR(VLOOKUP($C40,Sheet5!$C:$K,COLUMN(Sheet5!D$2)-2,0),"")</f>
        <v>0.72093023255813904</v>
      </c>
      <c r="Q40" s="148">
        <f>IFERROR(VLOOKUP($C40,Sheet5!$C:$K,COLUMN(Sheet5!E$2)-2,0),"")</f>
        <v>0.20754716981132099</v>
      </c>
      <c r="R40" s="88">
        <f>IFERROR(VLOOKUP($C40,Sheet5!$C:$K,COLUMN(Sheet5!F$2)-2,0),"")</f>
        <v>0.35294117647058798</v>
      </c>
      <c r="S40" s="88">
        <f>IFERROR(VLOOKUP($C40,Sheet5!$C:$K,COLUMN(Sheet5!G$2)-2,0),"")</f>
        <v>0.14285714285714302</v>
      </c>
      <c r="T40" s="88">
        <f>IFERROR(VLOOKUP($C40,Sheet5!$C:$K,COLUMN(Sheet5!H$2)-2,0),"")</f>
        <v>0.37735849056603799</v>
      </c>
      <c r="U40" s="75">
        <f>IFERROR(VLOOKUP($C40,Sheet5!$C:$K,COLUMN(Sheet5!I$2)-2,0),"")</f>
        <v>0.42857142857142899</v>
      </c>
      <c r="V40" s="107">
        <v>210</v>
      </c>
      <c r="W40" s="108">
        <v>210</v>
      </c>
      <c r="X40" s="109">
        <f t="shared" si="0"/>
        <v>0</v>
      </c>
    </row>
    <row r="41" spans="2:24" x14ac:dyDescent="0.2">
      <c r="B41" s="185">
        <v>31</v>
      </c>
      <c r="C41" s="51" t="str">
        <f>VLOOKUP($B41,'4'!$A$80:$AK$111,COLUMN('4'!Z$1),0)</f>
        <v>兰西恒泰</v>
      </c>
      <c r="D41" s="64" t="str">
        <f>VLOOKUP(C41,'4'!AL:AM,2,0)</f>
        <v>绥化外埠所</v>
      </c>
      <c r="E41" s="122">
        <f>VLOOKUP($B41,'4'!$A$80:$AK$111,COLUMN('4'!AA$1),0)</f>
        <v>150</v>
      </c>
      <c r="F41" s="123">
        <f>VLOOKUP($B41,'4'!$A$80:$AK$111,COLUMN('4'!AB$1),0)</f>
        <v>255</v>
      </c>
      <c r="G41" s="124">
        <f>VLOOKUP($B41,'4'!$A$80:$AK$111,COLUMN('4'!AC$1),0)</f>
        <v>345</v>
      </c>
      <c r="H41" s="65">
        <f>VLOOKUP($B41,'4'!$A$80:$AK$111,COLUMN('4'!AD$1),0)</f>
        <v>-0.31818181818181823</v>
      </c>
      <c r="I41" s="66">
        <f>VLOOKUP($B41,'4'!$A$80:$AK$111,COLUMN('4'!AE$1),0)</f>
        <v>0</v>
      </c>
      <c r="J41" s="67">
        <f>VLOOKUP($B41,'4'!$A$80:$AK$111,COLUMN('4'!AF$1),0)</f>
        <v>5.1829268292682862E-2</v>
      </c>
      <c r="K41" s="122">
        <f>VLOOKUP($B41,'4'!$A$80:$AK$111,COLUMN('4'!AG$1),0)</f>
        <v>137.5</v>
      </c>
      <c r="L41" s="123">
        <f>VLOOKUP($B41,'4'!$A$80:$AK$111,COLUMN('4'!AH$1),0)</f>
        <v>370</v>
      </c>
      <c r="M41" s="66">
        <f>VLOOKUP($B41,'4'!$A$80:$AK$111,COLUMN('4'!AI$1),0)</f>
        <v>-0.6283783783783784</v>
      </c>
      <c r="N41" s="123">
        <f>VLOOKUP($B41,'4'!$A$80:$AK$111,COLUMN('4'!AJ$1),0)</f>
        <v>137.5</v>
      </c>
      <c r="O41" s="67">
        <f>VLOOKUP($B41,'4'!$A$80:$AK$111,COLUMN('4'!AK$1),0)</f>
        <v>1</v>
      </c>
      <c r="P41" s="89" t="str">
        <f>IFERROR(VLOOKUP($C41,#REF!,COLUMN(#REF!)-3,0),"")</f>
        <v/>
      </c>
      <c r="Q41" s="149" t="str">
        <f>IFERROR(VLOOKUP($C41,#REF!,COLUMN(#REF!)-3,0),"")</f>
        <v/>
      </c>
      <c r="R41" s="90" t="str">
        <f>IFERROR(VLOOKUP($C41,#REF!,COLUMN(#REF!)-3,0),"")</f>
        <v/>
      </c>
      <c r="S41" s="90" t="str">
        <f>IFERROR(VLOOKUP($C41,#REF!,COLUMN(#REF!)-3,0),"")</f>
        <v/>
      </c>
      <c r="T41" s="90" t="str">
        <f>IFERROR(VLOOKUP($C41,#REF!,COLUMN(#REF!)-3,0),"")</f>
        <v/>
      </c>
      <c r="U41" s="91" t="str">
        <f>IFERROR(VLOOKUP($C41,#REF!,COLUMN(#REF!)-3,0),"")</f>
        <v/>
      </c>
      <c r="V41" s="110">
        <v>378</v>
      </c>
      <c r="W41" s="111">
        <v>370</v>
      </c>
      <c r="X41" s="112">
        <f t="shared" si="0"/>
        <v>-8</v>
      </c>
    </row>
    <row r="42" spans="2:24" hidden="1" x14ac:dyDescent="0.2">
      <c r="B42" s="51">
        <v>32</v>
      </c>
      <c r="C42" s="64" t="e">
        <f>VLOOKUP($B42,'4'!$A$80:$AK$111,COLUMN('4'!Z$1),0)</f>
        <v>#N/A</v>
      </c>
      <c r="D42" s="158" t="e">
        <f>VLOOKUP(C42,'4'!AL:AM,2,0)</f>
        <v>#N/A</v>
      </c>
      <c r="E42" s="122" t="e">
        <f>VLOOKUP($B42,'4'!$A$80:$AK$111,COLUMN('4'!AA$1),0)</f>
        <v>#N/A</v>
      </c>
      <c r="F42" s="123" t="e">
        <f>VLOOKUP($B42,'4'!$A$80:$AK$111,COLUMN('4'!AB$1),0)</f>
        <v>#N/A</v>
      </c>
      <c r="G42" s="124" t="e">
        <f>VLOOKUP($B42,'4'!$A$80:$AK$111,COLUMN('4'!AC$1),0)</f>
        <v>#N/A</v>
      </c>
      <c r="H42" s="65" t="e">
        <f>VLOOKUP($B42,'4'!$A$80:$AK$111,COLUMN('4'!AD$1),0)</f>
        <v>#N/A</v>
      </c>
      <c r="I42" s="66" t="e">
        <f>VLOOKUP($B42,'4'!$A$80:$AK$111,COLUMN('4'!AE$1),0)</f>
        <v>#N/A</v>
      </c>
      <c r="J42" s="67" t="e">
        <f>VLOOKUP($B42,'4'!$A$80:$AK$111,COLUMN('4'!AF$1),0)</f>
        <v>#N/A</v>
      </c>
      <c r="K42" s="122" t="e">
        <f>VLOOKUP($B42,'4'!$A$80:$AK$111,COLUMN('4'!AG$1),0)</f>
        <v>#N/A</v>
      </c>
      <c r="L42" s="123" t="e">
        <f>VLOOKUP($B42,'4'!$A$80:$AK$111,COLUMN('4'!AH$1),0)</f>
        <v>#N/A</v>
      </c>
      <c r="M42" s="66" t="e">
        <f>VLOOKUP($B42,'4'!$A$80:$AK$111,COLUMN('4'!AI$1),0)</f>
        <v>#N/A</v>
      </c>
      <c r="N42" s="123" t="e">
        <f>VLOOKUP($B42,'4'!$A$80:$AK$111,COLUMN('4'!AJ$1),0)</f>
        <v>#N/A</v>
      </c>
      <c r="O42" s="67" t="e">
        <f>VLOOKUP($B42,'4'!$A$80:$AK$111,COLUMN('4'!AK$1),0)</f>
        <v>#N/A</v>
      </c>
      <c r="P42" s="89" t="str">
        <f>IFERROR(VLOOKUP($C42,#REF!,COLUMN(#REF!)-3,0),"")</f>
        <v/>
      </c>
      <c r="Q42" s="149" t="str">
        <f>IFERROR(VLOOKUP($C42,#REF!,COLUMN(#REF!)-3,0),"")</f>
        <v/>
      </c>
      <c r="R42" s="90" t="str">
        <f>IFERROR(VLOOKUP($C42,#REF!,COLUMN(#REF!)-3,0),"")</f>
        <v/>
      </c>
      <c r="S42" s="90" t="str">
        <f>IFERROR(VLOOKUP($C42,#REF!,COLUMN(#REF!)-3,0),"")</f>
        <v/>
      </c>
      <c r="T42" s="90" t="str">
        <f>IFERROR(VLOOKUP($C42,#REF!,COLUMN(#REF!)-3,0),"")</f>
        <v/>
      </c>
      <c r="U42" s="91" t="str">
        <f>IFERROR(VLOOKUP($C42,#REF!,COLUMN(#REF!)-3,0),"")</f>
        <v/>
      </c>
    </row>
  </sheetData>
  <mergeCells count="8">
    <mergeCell ref="V2:X2"/>
    <mergeCell ref="K2:O2"/>
    <mergeCell ref="P2:U2"/>
    <mergeCell ref="B4:C4"/>
    <mergeCell ref="B2:B3"/>
    <mergeCell ref="E2:G2"/>
    <mergeCell ref="H2:J2"/>
    <mergeCell ref="C2:D2"/>
  </mergeCells>
  <phoneticPr fontId="19" type="noConversion"/>
  <conditionalFormatting sqref="H4:J42">
    <cfRule type="cellIs" dxfId="12" priority="7" operator="lessThan">
      <formula>0</formula>
    </cfRule>
  </conditionalFormatting>
  <conditionalFormatting sqref="M1:M1048576">
    <cfRule type="cellIs" dxfId="11" priority="3" operator="lessThan">
      <formula>0</formula>
    </cfRule>
  </conditionalFormatting>
  <conditionalFormatting sqref="X37:X41">
    <cfRule type="cellIs" dxfId="6" priority="2" operator="lessThan">
      <formula>0</formula>
    </cfRule>
    <cfRule type="cellIs" dxfId="7" priority="1" operator="greaterThan">
      <formula>$Y$37</formula>
    </cfRule>
  </conditionalFormatting>
  <pageMargins left="0.7" right="0.7" top="0.75" bottom="0.75" header="0.3" footer="0.3"/>
  <pageSetup paperSize="9" orientation="portrait" verticalDpi="0" r:id="rId1"/>
  <customProperties>
    <customPr name="_pios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34"/>
  <sheetViews>
    <sheetView workbookViewId="0">
      <selection activeCell="F15" sqref="F15"/>
    </sheetView>
  </sheetViews>
  <sheetFormatPr defaultRowHeight="16.5" x14ac:dyDescent="0.2"/>
  <cols>
    <col min="1" max="2" width="9" style="9"/>
    <col min="3" max="4" width="14.375" style="13" customWidth="1"/>
    <col min="5" max="16384" width="9" style="9"/>
  </cols>
  <sheetData>
    <row r="2" spans="1:24" s="12" customFormat="1" ht="15" x14ac:dyDescent="0.2">
      <c r="E2" s="197" t="s">
        <v>43</v>
      </c>
      <c r="F2" s="197"/>
      <c r="G2" s="197"/>
      <c r="H2" s="197" t="s">
        <v>44</v>
      </c>
      <c r="I2" s="197"/>
      <c r="J2" s="197"/>
      <c r="K2" s="197">
        <v>2501</v>
      </c>
      <c r="L2" s="197"/>
      <c r="M2" s="197"/>
      <c r="N2" s="197"/>
      <c r="O2" s="197"/>
      <c r="P2" s="197" t="s">
        <v>45</v>
      </c>
      <c r="Q2" s="197"/>
      <c r="R2" s="197"/>
      <c r="S2" s="197"/>
      <c r="T2" s="197"/>
      <c r="U2" s="197"/>
      <c r="V2" s="177"/>
      <c r="W2" s="177"/>
      <c r="X2" s="177"/>
    </row>
    <row r="3" spans="1:24" s="12" customFormat="1" ht="15" x14ac:dyDescent="0.2">
      <c r="A3" s="197" t="s">
        <v>51</v>
      </c>
      <c r="B3" s="197"/>
      <c r="E3" s="177">
        <v>2412</v>
      </c>
      <c r="F3" s="177">
        <v>2501</v>
      </c>
      <c r="G3" s="177">
        <v>2502</v>
      </c>
      <c r="H3" s="177">
        <f>E3</f>
        <v>2412</v>
      </c>
      <c r="I3" s="177">
        <f t="shared" ref="I3:J3" si="0">F3</f>
        <v>2501</v>
      </c>
      <c r="J3" s="177">
        <f t="shared" si="0"/>
        <v>2502</v>
      </c>
      <c r="K3" s="177" t="s">
        <v>43</v>
      </c>
      <c r="L3" s="177" t="s">
        <v>46</v>
      </c>
      <c r="M3" s="177" t="s">
        <v>44</v>
      </c>
      <c r="N3" s="177" t="s">
        <v>47</v>
      </c>
      <c r="O3" s="177" t="s">
        <v>48</v>
      </c>
      <c r="P3" s="13" t="s">
        <v>194</v>
      </c>
      <c r="Q3" s="13" t="s">
        <v>37</v>
      </c>
      <c r="R3" s="13" t="s">
        <v>38</v>
      </c>
      <c r="S3" s="13" t="s">
        <v>39</v>
      </c>
      <c r="T3" s="13" t="s">
        <v>40</v>
      </c>
      <c r="U3" s="13" t="s">
        <v>41</v>
      </c>
      <c r="V3" s="177"/>
      <c r="W3" s="177"/>
      <c r="X3" s="177"/>
    </row>
    <row r="4" spans="1:24" s="12" customFormat="1" ht="15" x14ac:dyDescent="0.2">
      <c r="A4" s="12" t="s">
        <v>50</v>
      </c>
      <c r="B4" s="12" t="s">
        <v>44</v>
      </c>
      <c r="C4" s="197" t="s">
        <v>49</v>
      </c>
      <c r="D4" s="197"/>
      <c r="E4" s="16">
        <v>28.670999999999999</v>
      </c>
      <c r="F4" s="16">
        <v>25.747</v>
      </c>
      <c r="G4" s="16">
        <v>24.120999999999999</v>
      </c>
      <c r="H4" s="14">
        <v>-7.988052651686174E-4</v>
      </c>
      <c r="I4" s="14">
        <v>-0.12611270942629887</v>
      </c>
      <c r="J4" s="14">
        <v>-0.11767503109225264</v>
      </c>
      <c r="K4" s="125" t="e">
        <f>(#REF!)*1000</f>
        <v>#REF!</v>
      </c>
      <c r="L4" s="125" t="e">
        <f>(#REF!)*1000</f>
        <v>#REF!</v>
      </c>
      <c r="M4" s="14" t="e">
        <f>K4/L4-1</f>
        <v>#REF!</v>
      </c>
      <c r="N4" s="125" t="e">
        <f>(#REF!)*1000</f>
        <v>#REF!</v>
      </c>
      <c r="O4" s="14" t="e">
        <f>#REF!</f>
        <v>#REF!</v>
      </c>
      <c r="P4" s="15" t="e">
        <f>#REF!</f>
        <v>#REF!</v>
      </c>
      <c r="Q4" s="15" t="e">
        <f>#REF!</f>
        <v>#REF!</v>
      </c>
      <c r="R4" s="15" t="e">
        <f>#REF!</f>
        <v>#REF!</v>
      </c>
      <c r="S4" s="15" t="e">
        <f>#REF!</f>
        <v>#REF!</v>
      </c>
      <c r="T4" s="15" t="e">
        <f>#REF!</f>
        <v>#REF!</v>
      </c>
      <c r="U4" s="15" t="e">
        <f>#REF!</f>
        <v>#REF!</v>
      </c>
      <c r="V4" s="177"/>
      <c r="W4" s="177"/>
      <c r="X4" s="177"/>
    </row>
    <row r="5" spans="1:24" x14ac:dyDescent="0.2">
      <c r="A5" s="9" t="e">
        <f t="shared" ref="A5:A10" si="1">RANK(B5,$B$5:$B$10)</f>
        <v>#REF!</v>
      </c>
      <c r="B5" s="17" t="e">
        <f t="shared" ref="B5:B10" si="2">M5</f>
        <v>#REF!</v>
      </c>
      <c r="C5" s="13" t="s">
        <v>4</v>
      </c>
      <c r="D5" s="13" t="s">
        <v>5</v>
      </c>
      <c r="E5" s="10">
        <v>1774</v>
      </c>
      <c r="F5" s="10">
        <v>865</v>
      </c>
      <c r="G5" s="10">
        <v>863</v>
      </c>
      <c r="H5" s="11">
        <v>-3.4820457018498369E-2</v>
      </c>
      <c r="I5" s="11">
        <v>-0.38869257950530034</v>
      </c>
      <c r="J5" s="11">
        <v>-0.49825581395348839</v>
      </c>
      <c r="K5" s="126" t="e">
        <f>(SUMIFS(#REF!,#REF!,基础表!$C5,#REF!,基础表!$D5))*1000</f>
        <v>#REF!</v>
      </c>
      <c r="L5" s="126" t="e">
        <f>(SUMIFS(#REF!,#REF!,基础表!$C5,#REF!,基础表!$D5))*1000</f>
        <v>#REF!</v>
      </c>
      <c r="M5" s="11" t="e">
        <f t="shared" ref="M5:M34" si="3">K5/L5-1</f>
        <v>#REF!</v>
      </c>
      <c r="N5" s="126" t="e">
        <f>(SUMIFS(#REF!,#REF!,基础表!$C5,#REF!,基础表!$D5))*1000</f>
        <v>#REF!</v>
      </c>
      <c r="O5" s="11" t="e">
        <f>SUMIFS(#REF!,#REF!,基础表!$C5,#REF!,基础表!$D5)</f>
        <v>#REF!</v>
      </c>
      <c r="P5" s="11" t="e">
        <f>SUMIFS(#REF!,#REF!,基础表!$C5,#REF!,基础表!$D5)</f>
        <v>#REF!</v>
      </c>
      <c r="Q5" s="11" t="e">
        <f>SUMIFS(#REF!,#REF!,基础表!$C5,#REF!,基础表!$D5)</f>
        <v>#REF!</v>
      </c>
      <c r="R5" s="11" t="e">
        <f>SUMIFS(#REF!,#REF!,基础表!$C5,#REF!,基础表!$D5)</f>
        <v>#REF!</v>
      </c>
      <c r="S5" s="11" t="e">
        <f>SUMIFS(#REF!,#REF!,基础表!$C5,#REF!,基础表!$D5)</f>
        <v>#REF!</v>
      </c>
      <c r="T5" s="11" t="e">
        <f>SUMIFS(#REF!,#REF!,基础表!$C5,#REF!,基础表!$D5)</f>
        <v>#REF!</v>
      </c>
      <c r="U5" s="11" t="e">
        <f>SUMIFS(#REF!,#REF!,基础表!$C5,#REF!,基础表!$D5)</f>
        <v>#REF!</v>
      </c>
    </row>
    <row r="6" spans="1:24" x14ac:dyDescent="0.2">
      <c r="A6" s="9" t="e">
        <f t="shared" si="1"/>
        <v>#REF!</v>
      </c>
      <c r="B6" s="11" t="e">
        <f t="shared" si="2"/>
        <v>#REF!</v>
      </c>
      <c r="C6" s="13" t="s">
        <v>4</v>
      </c>
      <c r="D6" s="13" t="s">
        <v>6</v>
      </c>
      <c r="E6" s="10">
        <v>934</v>
      </c>
      <c r="F6" s="10">
        <v>409</v>
      </c>
      <c r="G6" s="10">
        <v>753</v>
      </c>
      <c r="H6" s="11">
        <v>8.4785133565621382E-2</v>
      </c>
      <c r="I6" s="11">
        <v>-0.61668228678537962</v>
      </c>
      <c r="J6" s="11">
        <v>-0.34235807860262013</v>
      </c>
      <c r="K6" s="126" t="e">
        <f>(SUMIFS(#REF!,#REF!,基础表!$C6,#REF!,基础表!$D6))*1000</f>
        <v>#REF!</v>
      </c>
      <c r="L6" s="126" t="e">
        <f>(SUMIFS(#REF!,#REF!,基础表!$C6,#REF!,基础表!$D6))*1000</f>
        <v>#REF!</v>
      </c>
      <c r="M6" s="11" t="e">
        <f t="shared" si="3"/>
        <v>#REF!</v>
      </c>
      <c r="N6" s="126" t="e">
        <f>(SUMIFS(#REF!,#REF!,基础表!$C6,#REF!,基础表!$D6))*1000</f>
        <v>#REF!</v>
      </c>
      <c r="O6" s="11" t="e">
        <f>SUMIFS(#REF!,#REF!,基础表!$C6,#REF!,基础表!$D6)</f>
        <v>#REF!</v>
      </c>
      <c r="P6" s="11" t="e">
        <f>SUMIFS(#REF!,#REF!,基础表!$C6,#REF!,基础表!$D6)</f>
        <v>#REF!</v>
      </c>
      <c r="Q6" s="11" t="e">
        <f>SUMIFS(#REF!,#REF!,基础表!$C6,#REF!,基础表!$D6)</f>
        <v>#REF!</v>
      </c>
      <c r="R6" s="11" t="e">
        <f>SUMIFS(#REF!,#REF!,基础表!$C6,#REF!,基础表!$D6)</f>
        <v>#REF!</v>
      </c>
      <c r="S6" s="11" t="e">
        <f>SUMIFS(#REF!,#REF!,基础表!$C6,#REF!,基础表!$D6)</f>
        <v>#REF!</v>
      </c>
      <c r="T6" s="11" t="e">
        <f>SUMIFS(#REF!,#REF!,基础表!$C6,#REF!,基础表!$D6)</f>
        <v>#REF!</v>
      </c>
      <c r="U6" s="11" t="e">
        <f>SUMIFS(#REF!,#REF!,基础表!$C6,#REF!,基础表!$D6)</f>
        <v>#REF!</v>
      </c>
    </row>
    <row r="7" spans="1:24" x14ac:dyDescent="0.2">
      <c r="A7" s="9" t="e">
        <f t="shared" si="1"/>
        <v>#REF!</v>
      </c>
      <c r="B7" s="11" t="e">
        <f t="shared" si="2"/>
        <v>#REF!</v>
      </c>
      <c r="C7" s="13" t="s">
        <v>4</v>
      </c>
      <c r="D7" s="13" t="s">
        <v>7</v>
      </c>
      <c r="E7" s="10">
        <v>582</v>
      </c>
      <c r="F7" s="10">
        <v>345</v>
      </c>
      <c r="G7" s="10">
        <v>633</v>
      </c>
      <c r="H7" s="11">
        <v>1.3937282229965159E-2</v>
      </c>
      <c r="I7" s="11">
        <v>-0.32086614173228351</v>
      </c>
      <c r="J7" s="11">
        <v>-3.9453717754173057E-2</v>
      </c>
      <c r="K7" s="126" t="e">
        <f>(SUMIFS(#REF!,#REF!,基础表!$C7,#REF!,基础表!$D7))*1000</f>
        <v>#REF!</v>
      </c>
      <c r="L7" s="126" t="e">
        <f>(SUMIFS(#REF!,#REF!,基础表!$C7,#REF!,基础表!$D7))*1000</f>
        <v>#REF!</v>
      </c>
      <c r="M7" s="11" t="e">
        <f t="shared" si="3"/>
        <v>#REF!</v>
      </c>
      <c r="N7" s="126" t="e">
        <f>(SUMIFS(#REF!,#REF!,基础表!$C7,#REF!,基础表!$D7))*1000</f>
        <v>#REF!</v>
      </c>
      <c r="O7" s="11" t="e">
        <f>SUMIFS(#REF!,#REF!,基础表!$C7,#REF!,基础表!$D7)</f>
        <v>#REF!</v>
      </c>
      <c r="P7" s="11" t="e">
        <f>SUMIFS(#REF!,#REF!,基础表!$C7,#REF!,基础表!$D7)</f>
        <v>#REF!</v>
      </c>
      <c r="Q7" s="11" t="e">
        <f>SUMIFS(#REF!,#REF!,基础表!$C7,#REF!,基础表!$D7)</f>
        <v>#REF!</v>
      </c>
      <c r="R7" s="11" t="e">
        <f>SUMIFS(#REF!,#REF!,基础表!$C7,#REF!,基础表!$D7)</f>
        <v>#REF!</v>
      </c>
      <c r="S7" s="11" t="e">
        <f>SUMIFS(#REF!,#REF!,基础表!$C7,#REF!,基础表!$D7)</f>
        <v>#REF!</v>
      </c>
      <c r="T7" s="11" t="e">
        <f>SUMIFS(#REF!,#REF!,基础表!$C7,#REF!,基础表!$D7)</f>
        <v>#REF!</v>
      </c>
      <c r="U7" s="11" t="e">
        <f>SUMIFS(#REF!,#REF!,基础表!$C7,#REF!,基础表!$D7)</f>
        <v>#REF!</v>
      </c>
    </row>
    <row r="8" spans="1:24" x14ac:dyDescent="0.2">
      <c r="A8" s="9" t="e">
        <f t="shared" si="1"/>
        <v>#REF!</v>
      </c>
      <c r="B8" s="11" t="e">
        <f t="shared" si="2"/>
        <v>#REF!</v>
      </c>
      <c r="C8" s="13" t="s">
        <v>4</v>
      </c>
      <c r="D8" s="13" t="s">
        <v>8</v>
      </c>
      <c r="E8" s="10">
        <v>723</v>
      </c>
      <c r="F8" s="10">
        <v>359</v>
      </c>
      <c r="G8" s="10">
        <v>589</v>
      </c>
      <c r="H8" s="11">
        <v>6.1674008810572688E-2</v>
      </c>
      <c r="I8" s="11">
        <v>-0.18223234624145784</v>
      </c>
      <c r="J8" s="11">
        <v>-0.16925246826516216</v>
      </c>
      <c r="K8" s="126" t="e">
        <f>(SUMIFS(#REF!,#REF!,基础表!$C8,#REF!,基础表!$D8))*1000</f>
        <v>#REF!</v>
      </c>
      <c r="L8" s="126" t="e">
        <f>(SUMIFS(#REF!,#REF!,基础表!$C8,#REF!,基础表!$D8))*1000</f>
        <v>#REF!</v>
      </c>
      <c r="M8" s="11" t="e">
        <f t="shared" si="3"/>
        <v>#REF!</v>
      </c>
      <c r="N8" s="126" t="e">
        <f>(SUMIFS(#REF!,#REF!,基础表!$C8,#REF!,基础表!$D8))*1000</f>
        <v>#REF!</v>
      </c>
      <c r="O8" s="11" t="e">
        <f>SUMIFS(#REF!,#REF!,基础表!$C8,#REF!,基础表!$D8)</f>
        <v>#REF!</v>
      </c>
      <c r="P8" s="11" t="e">
        <f>SUMIFS(#REF!,#REF!,基础表!$C8,#REF!,基础表!$D8)</f>
        <v>#REF!</v>
      </c>
      <c r="Q8" s="11" t="e">
        <f>SUMIFS(#REF!,#REF!,基础表!$C8,#REF!,基础表!$D8)</f>
        <v>#REF!</v>
      </c>
      <c r="R8" s="11" t="e">
        <f>SUMIFS(#REF!,#REF!,基础表!$C8,#REF!,基础表!$D8)</f>
        <v>#REF!</v>
      </c>
      <c r="S8" s="11" t="e">
        <f>SUMIFS(#REF!,#REF!,基础表!$C8,#REF!,基础表!$D8)</f>
        <v>#REF!</v>
      </c>
      <c r="T8" s="11" t="e">
        <f>SUMIFS(#REF!,#REF!,基础表!$C8,#REF!,基础表!$D8)</f>
        <v>#REF!</v>
      </c>
      <c r="U8" s="11" t="e">
        <f>SUMIFS(#REF!,#REF!,基础表!$C8,#REF!,基础表!$D8)</f>
        <v>#REF!</v>
      </c>
    </row>
    <row r="9" spans="1:24" x14ac:dyDescent="0.2">
      <c r="A9" s="9" t="e">
        <f t="shared" si="1"/>
        <v>#REF!</v>
      </c>
      <c r="B9" s="11" t="e">
        <f t="shared" si="2"/>
        <v>#REF!</v>
      </c>
      <c r="C9" s="13" t="s">
        <v>4</v>
      </c>
      <c r="D9" s="13" t="s">
        <v>9</v>
      </c>
      <c r="E9" s="10">
        <v>1260</v>
      </c>
      <c r="F9" s="10">
        <v>1499</v>
      </c>
      <c r="G9" s="10">
        <v>1477</v>
      </c>
      <c r="H9" s="11">
        <v>7.2340425531914901E-2</v>
      </c>
      <c r="I9" s="11">
        <v>0.47684729064039411</v>
      </c>
      <c r="J9" s="11">
        <v>0.34272727272727277</v>
      </c>
      <c r="K9" s="126" t="e">
        <f>(SUMIFS(#REF!,#REF!,基础表!$C9,#REF!,基础表!$D9))*1000</f>
        <v>#REF!</v>
      </c>
      <c r="L9" s="126" t="e">
        <f>(SUMIFS(#REF!,#REF!,基础表!$C9,#REF!,基础表!$D9))*1000</f>
        <v>#REF!</v>
      </c>
      <c r="M9" s="11" t="e">
        <f t="shared" si="3"/>
        <v>#REF!</v>
      </c>
      <c r="N9" s="126" t="e">
        <f>(SUMIFS(#REF!,#REF!,基础表!$C9,#REF!,基础表!$D9))*1000</f>
        <v>#REF!</v>
      </c>
      <c r="O9" s="11" t="e">
        <f>SUMIFS(#REF!,#REF!,基础表!$C9,#REF!,基础表!$D9)</f>
        <v>#REF!</v>
      </c>
      <c r="P9" s="11" t="e">
        <f>SUMIFS(#REF!,#REF!,基础表!$C9,#REF!,基础表!$D9)</f>
        <v>#REF!</v>
      </c>
      <c r="Q9" s="11" t="e">
        <f>SUMIFS(#REF!,#REF!,基础表!$C9,#REF!,基础表!$D9)</f>
        <v>#REF!</v>
      </c>
      <c r="R9" s="11" t="e">
        <f>SUMIFS(#REF!,#REF!,基础表!$C9,#REF!,基础表!$D9)</f>
        <v>#REF!</v>
      </c>
      <c r="S9" s="11" t="e">
        <f>SUMIFS(#REF!,#REF!,基础表!$C9,#REF!,基础表!$D9)</f>
        <v>#REF!</v>
      </c>
      <c r="T9" s="11" t="e">
        <f>SUMIFS(#REF!,#REF!,基础表!$C9,#REF!,基础表!$D9)</f>
        <v>#REF!</v>
      </c>
      <c r="U9" s="11" t="e">
        <f>SUMIFS(#REF!,#REF!,基础表!$C9,#REF!,基础表!$D9)</f>
        <v>#REF!</v>
      </c>
      <c r="X9" s="9">
        <v>1000</v>
      </c>
    </row>
    <row r="10" spans="1:24" x14ac:dyDescent="0.2">
      <c r="A10" s="9" t="e">
        <f t="shared" si="1"/>
        <v>#REF!</v>
      </c>
      <c r="B10" s="11" t="e">
        <f t="shared" si="2"/>
        <v>#REF!</v>
      </c>
      <c r="C10" s="13" t="s">
        <v>4</v>
      </c>
      <c r="D10" s="13" t="s">
        <v>10</v>
      </c>
      <c r="E10" s="10">
        <v>1919</v>
      </c>
      <c r="F10" s="10">
        <v>1110</v>
      </c>
      <c r="G10" s="10">
        <v>1472</v>
      </c>
      <c r="H10" s="11">
        <v>-9.8214285714285712E-2</v>
      </c>
      <c r="I10" s="11">
        <v>-0.38092582264361402</v>
      </c>
      <c r="J10" s="11">
        <v>-0.1785714285714286</v>
      </c>
      <c r="K10" s="126" t="e">
        <f>(SUMIFS(#REF!,#REF!,基础表!$C10,#REF!,基础表!$D10))*1000</f>
        <v>#REF!</v>
      </c>
      <c r="L10" s="126" t="e">
        <f>(SUMIFS(#REF!,#REF!,基础表!$C10,#REF!,基础表!$D10))*1000</f>
        <v>#REF!</v>
      </c>
      <c r="M10" s="11" t="e">
        <f t="shared" si="3"/>
        <v>#REF!</v>
      </c>
      <c r="N10" s="126" t="e">
        <f>(SUMIFS(#REF!,#REF!,基础表!$C10,#REF!,基础表!$D10))*1000</f>
        <v>#REF!</v>
      </c>
      <c r="O10" s="11" t="e">
        <f>SUMIFS(#REF!,#REF!,基础表!$C10,#REF!,基础表!$D10)</f>
        <v>#REF!</v>
      </c>
      <c r="P10" s="11" t="e">
        <f>SUMIFS(#REF!,#REF!,基础表!$C10,#REF!,基础表!$D10)</f>
        <v>#REF!</v>
      </c>
      <c r="Q10" s="11" t="e">
        <f>SUMIFS(#REF!,#REF!,基础表!$C10,#REF!,基础表!$D10)</f>
        <v>#REF!</v>
      </c>
      <c r="R10" s="11" t="e">
        <f>SUMIFS(#REF!,#REF!,基础表!$C10,#REF!,基础表!$D10)</f>
        <v>#REF!</v>
      </c>
      <c r="S10" s="11" t="e">
        <f>SUMIFS(#REF!,#REF!,基础表!$C10,#REF!,基础表!$D10)</f>
        <v>#REF!</v>
      </c>
      <c r="T10" s="11" t="e">
        <f>SUMIFS(#REF!,#REF!,基础表!$C10,#REF!,基础表!$D10)</f>
        <v>#REF!</v>
      </c>
      <c r="U10" s="11" t="e">
        <f>SUMIFS(#REF!,#REF!,基础表!$C10,#REF!,基础表!$D10)</f>
        <v>#REF!</v>
      </c>
    </row>
    <row r="11" spans="1:24" x14ac:dyDescent="0.2">
      <c r="C11" s="13" t="s">
        <v>4</v>
      </c>
      <c r="D11" s="13" t="s">
        <v>3</v>
      </c>
      <c r="E11" s="10">
        <v>8751</v>
      </c>
      <c r="F11" s="10">
        <v>7730</v>
      </c>
      <c r="G11" s="10">
        <v>7418</v>
      </c>
      <c r="H11" s="11">
        <v>4.5372050816696913E-4</v>
      </c>
      <c r="I11" s="11">
        <v>-4.5276554087126775E-2</v>
      </c>
      <c r="J11" s="11">
        <v>-0.12636909669061358</v>
      </c>
      <c r="K11" s="126" t="e">
        <f>(SUMIFS(#REF!,#REF!,基础表!$C11,#REF!,基础表!$D11))*1000</f>
        <v>#REF!</v>
      </c>
      <c r="L11" s="126" t="e">
        <f>(SUMIFS(#REF!,#REF!,基础表!$C11,#REF!,基础表!$D11))*1000</f>
        <v>#REF!</v>
      </c>
      <c r="M11" s="11" t="e">
        <f t="shared" si="3"/>
        <v>#REF!</v>
      </c>
      <c r="N11" s="126" t="e">
        <f>(SUMIFS(#REF!,#REF!,基础表!$C11,#REF!,基础表!$D11))*1000</f>
        <v>#REF!</v>
      </c>
      <c r="O11" s="11" t="e">
        <f>SUMIFS(#REF!,#REF!,基础表!$C11,#REF!,基础表!$D11)</f>
        <v>#REF!</v>
      </c>
      <c r="P11" s="11" t="e">
        <f>SUMIFS(#REF!,#REF!,基础表!$C11,#REF!,基础表!$D11)</f>
        <v>#REF!</v>
      </c>
      <c r="Q11" s="11" t="e">
        <f>SUMIFS(#REF!,#REF!,基础表!$C11,#REF!,基础表!$D11)</f>
        <v>#REF!</v>
      </c>
      <c r="R11" s="11" t="e">
        <f>SUMIFS(#REF!,#REF!,基础表!$C11,#REF!,基础表!$D11)</f>
        <v>#REF!</v>
      </c>
      <c r="S11" s="11" t="e">
        <f>SUMIFS(#REF!,#REF!,基础表!$C11,#REF!,基础表!$D11)</f>
        <v>#REF!</v>
      </c>
      <c r="T11" s="11" t="e">
        <f>SUMIFS(#REF!,#REF!,基础表!$C11,#REF!,基础表!$D11)</f>
        <v>#REF!</v>
      </c>
      <c r="U11" s="11" t="e">
        <f>SUMIFS(#REF!,#REF!,基础表!$C11,#REF!,基础表!$D11)</f>
        <v>#REF!</v>
      </c>
    </row>
    <row r="12" spans="1:24" x14ac:dyDescent="0.2">
      <c r="A12" s="9" t="e">
        <f>RANK(B12,$B$12:$B$16)</f>
        <v>#REF!</v>
      </c>
      <c r="B12" s="11" t="e">
        <f>M12</f>
        <v>#REF!</v>
      </c>
      <c r="C12" s="13" t="s">
        <v>20</v>
      </c>
      <c r="D12" s="13" t="s">
        <v>21</v>
      </c>
      <c r="E12" s="10">
        <v>458</v>
      </c>
      <c r="F12" s="10">
        <v>400</v>
      </c>
      <c r="G12" s="10">
        <v>317</v>
      </c>
      <c r="H12" s="11">
        <v>9.9132589838909532E-2</v>
      </c>
      <c r="I12" s="11">
        <v>-0.35470668485675305</v>
      </c>
      <c r="J12" s="11">
        <v>-0.323943661971831</v>
      </c>
      <c r="K12" s="126" t="e">
        <f>(SUMIFS(#REF!,#REF!,基础表!$C12,#REF!,基础表!$D12))*1000</f>
        <v>#REF!</v>
      </c>
      <c r="L12" s="126" t="e">
        <f>(SUMIFS(#REF!,#REF!,基础表!$C12,#REF!,基础表!$D12))*1000</f>
        <v>#REF!</v>
      </c>
      <c r="M12" s="11" t="e">
        <f t="shared" si="3"/>
        <v>#REF!</v>
      </c>
      <c r="N12" s="126" t="e">
        <f>(SUMIFS(#REF!,#REF!,基础表!$C12,#REF!,基础表!$D12))*1000</f>
        <v>#REF!</v>
      </c>
      <c r="O12" s="11" t="e">
        <f>SUMIFS(#REF!,#REF!,基础表!$C12,#REF!,基础表!$D12)</f>
        <v>#REF!</v>
      </c>
      <c r="P12" s="11" t="e">
        <f>SUMIFS(#REF!,#REF!,基础表!$C12,#REF!,基础表!$D12)</f>
        <v>#REF!</v>
      </c>
      <c r="Q12" s="11" t="e">
        <f>SUMIFS(#REF!,#REF!,基础表!$C12,#REF!,基础表!$D12)</f>
        <v>#REF!</v>
      </c>
      <c r="R12" s="11" t="e">
        <f>SUMIFS(#REF!,#REF!,基础表!$C12,#REF!,基础表!$D12)</f>
        <v>#REF!</v>
      </c>
      <c r="S12" s="11" t="e">
        <f>SUMIFS(#REF!,#REF!,基础表!$C12,#REF!,基础表!$D12)</f>
        <v>#REF!</v>
      </c>
      <c r="T12" s="11" t="e">
        <f>SUMIFS(#REF!,#REF!,基础表!$C12,#REF!,基础表!$D12)</f>
        <v>#REF!</v>
      </c>
      <c r="U12" s="11" t="e">
        <f>SUMIFS(#REF!,#REF!,基础表!$C12,#REF!,基础表!$D12)</f>
        <v>#REF!</v>
      </c>
    </row>
    <row r="13" spans="1:24" x14ac:dyDescent="0.2">
      <c r="A13" s="9" t="e">
        <f>RANK(B13,$B$12:$B$16)</f>
        <v>#REF!</v>
      </c>
      <c r="B13" s="11" t="e">
        <f>M13</f>
        <v>#REF!</v>
      </c>
      <c r="C13" s="13" t="s">
        <v>20</v>
      </c>
      <c r="D13" s="13" t="s">
        <v>22</v>
      </c>
      <c r="E13" s="10">
        <v>1323</v>
      </c>
      <c r="F13" s="10">
        <v>1338</v>
      </c>
      <c r="G13" s="10">
        <v>1290</v>
      </c>
      <c r="H13" s="11">
        <v>9.9722991689750698E-2</v>
      </c>
      <c r="I13" s="11">
        <v>0.28388746803069054</v>
      </c>
      <c r="J13" s="11">
        <v>-2.2300469483568119E-2</v>
      </c>
      <c r="K13" s="126" t="e">
        <f>(SUMIFS(#REF!,#REF!,基础表!$C13,#REF!,基础表!$D13))*1000</f>
        <v>#REF!</v>
      </c>
      <c r="L13" s="126" t="e">
        <f>(SUMIFS(#REF!,#REF!,基础表!$C13,#REF!,基础表!$D13))*1000</f>
        <v>#REF!</v>
      </c>
      <c r="M13" s="11" t="e">
        <f t="shared" si="3"/>
        <v>#REF!</v>
      </c>
      <c r="N13" s="126" t="e">
        <f>(SUMIFS(#REF!,#REF!,基础表!$C13,#REF!,基础表!$D13))*1000</f>
        <v>#REF!</v>
      </c>
      <c r="O13" s="11" t="e">
        <f>SUMIFS(#REF!,#REF!,基础表!$C13,#REF!,基础表!$D13)</f>
        <v>#REF!</v>
      </c>
      <c r="P13" s="11" t="e">
        <f>SUMIFS(#REF!,#REF!,基础表!$C13,#REF!,基础表!$D13)</f>
        <v>#REF!</v>
      </c>
      <c r="Q13" s="11" t="e">
        <f>SUMIFS(#REF!,#REF!,基础表!$C13,#REF!,基础表!$D13)</f>
        <v>#REF!</v>
      </c>
      <c r="R13" s="11" t="e">
        <f>SUMIFS(#REF!,#REF!,基础表!$C13,#REF!,基础表!$D13)</f>
        <v>#REF!</v>
      </c>
      <c r="S13" s="11" t="e">
        <f>SUMIFS(#REF!,#REF!,基础表!$C13,#REF!,基础表!$D13)</f>
        <v>#REF!</v>
      </c>
      <c r="T13" s="11" t="e">
        <f>SUMIFS(#REF!,#REF!,基础表!$C13,#REF!,基础表!$D13)</f>
        <v>#REF!</v>
      </c>
      <c r="U13" s="11" t="e">
        <f>SUMIFS(#REF!,#REF!,基础表!$C13,#REF!,基础表!$D13)</f>
        <v>#REF!</v>
      </c>
    </row>
    <row r="14" spans="1:24" x14ac:dyDescent="0.2">
      <c r="A14" s="9" t="e">
        <f>RANK(B14,$B$12:$B$16)</f>
        <v>#REF!</v>
      </c>
      <c r="B14" s="11" t="e">
        <f>M14</f>
        <v>#REF!</v>
      </c>
      <c r="C14" s="13" t="s">
        <v>20</v>
      </c>
      <c r="D14" s="13" t="s">
        <v>23</v>
      </c>
      <c r="E14" s="10">
        <v>1485</v>
      </c>
      <c r="F14" s="10">
        <v>1403</v>
      </c>
      <c r="G14" s="10">
        <v>1247</v>
      </c>
      <c r="H14" s="11">
        <v>0.10126582278481014</v>
      </c>
      <c r="I14" s="11">
        <v>-2.2988505747126436E-2</v>
      </c>
      <c r="J14" s="11">
        <v>-0.18547140649149918</v>
      </c>
      <c r="K14" s="126" t="e">
        <f>(SUMIFS(#REF!,#REF!,基础表!$C14,#REF!,基础表!$D14))*1000</f>
        <v>#REF!</v>
      </c>
      <c r="L14" s="126" t="e">
        <f>(SUMIFS(#REF!,#REF!,基础表!$C14,#REF!,基础表!$D14))*1000</f>
        <v>#REF!</v>
      </c>
      <c r="M14" s="11" t="e">
        <f t="shared" si="3"/>
        <v>#REF!</v>
      </c>
      <c r="N14" s="126" t="e">
        <f>(SUMIFS(#REF!,#REF!,基础表!$C14,#REF!,基础表!$D14))*1000</f>
        <v>#REF!</v>
      </c>
      <c r="O14" s="11" t="e">
        <f>SUMIFS(#REF!,#REF!,基础表!$C14,#REF!,基础表!$D14)</f>
        <v>#REF!</v>
      </c>
      <c r="P14" s="11" t="e">
        <f>SUMIFS(#REF!,#REF!,基础表!$C14,#REF!,基础表!$D14)</f>
        <v>#REF!</v>
      </c>
      <c r="Q14" s="11" t="e">
        <f>SUMIFS(#REF!,#REF!,基础表!$C14,#REF!,基础表!$D14)</f>
        <v>#REF!</v>
      </c>
      <c r="R14" s="11" t="e">
        <f>SUMIFS(#REF!,#REF!,基础表!$C14,#REF!,基础表!$D14)</f>
        <v>#REF!</v>
      </c>
      <c r="S14" s="11" t="e">
        <f>SUMIFS(#REF!,#REF!,基础表!$C14,#REF!,基础表!$D14)</f>
        <v>#REF!</v>
      </c>
      <c r="T14" s="11" t="e">
        <f>SUMIFS(#REF!,#REF!,基础表!$C14,#REF!,基础表!$D14)</f>
        <v>#REF!</v>
      </c>
      <c r="U14" s="11" t="e">
        <f>SUMIFS(#REF!,#REF!,基础表!$C14,#REF!,基础表!$D14)</f>
        <v>#REF!</v>
      </c>
    </row>
    <row r="15" spans="1:24" x14ac:dyDescent="0.2">
      <c r="A15" s="9" t="e">
        <f>RANK(B15,$B$12:$B$16)</f>
        <v>#REF!</v>
      </c>
      <c r="B15" s="11" t="e">
        <f>M15</f>
        <v>#REF!</v>
      </c>
      <c r="C15" s="13" t="s">
        <v>20</v>
      </c>
      <c r="D15" s="13" t="s">
        <v>24</v>
      </c>
      <c r="E15" s="10">
        <v>733</v>
      </c>
      <c r="F15" s="10">
        <v>515</v>
      </c>
      <c r="G15" s="10">
        <v>512</v>
      </c>
      <c r="H15" s="11">
        <v>9.8945660989456619E-2</v>
      </c>
      <c r="I15" s="11">
        <v>-0.1384514435695538</v>
      </c>
      <c r="J15" s="11">
        <v>-5.0445103857566731E-2</v>
      </c>
      <c r="K15" s="126" t="e">
        <f>(SUMIFS(#REF!,#REF!,基础表!$C15,#REF!,基础表!$D15))*1000</f>
        <v>#REF!</v>
      </c>
      <c r="L15" s="126" t="e">
        <f>(SUMIFS(#REF!,#REF!,基础表!$C15,#REF!,基础表!$D15))*1000</f>
        <v>#REF!</v>
      </c>
      <c r="M15" s="11" t="e">
        <f t="shared" si="3"/>
        <v>#REF!</v>
      </c>
      <c r="N15" s="126" t="e">
        <f>(SUMIFS(#REF!,#REF!,基础表!$C15,#REF!,基础表!$D15))*1000</f>
        <v>#REF!</v>
      </c>
      <c r="O15" s="11" t="e">
        <f>SUMIFS(#REF!,#REF!,基础表!$C15,#REF!,基础表!$D15)</f>
        <v>#REF!</v>
      </c>
      <c r="P15" s="11" t="e">
        <f>SUMIFS(#REF!,#REF!,基础表!$C15,#REF!,基础表!$D15)</f>
        <v>#REF!</v>
      </c>
      <c r="Q15" s="11" t="e">
        <f>SUMIFS(#REF!,#REF!,基础表!$C15,#REF!,基础表!$D15)</f>
        <v>#REF!</v>
      </c>
      <c r="R15" s="11" t="e">
        <f>SUMIFS(#REF!,#REF!,基础表!$C15,#REF!,基础表!$D15)</f>
        <v>#REF!</v>
      </c>
      <c r="S15" s="11" t="e">
        <f>SUMIFS(#REF!,#REF!,基础表!$C15,#REF!,基础表!$D15)</f>
        <v>#REF!</v>
      </c>
      <c r="T15" s="11" t="e">
        <f>SUMIFS(#REF!,#REF!,基础表!$C15,#REF!,基础表!$D15)</f>
        <v>#REF!</v>
      </c>
      <c r="U15" s="11" t="e">
        <f>SUMIFS(#REF!,#REF!,基础表!$C15,#REF!,基础表!$D15)</f>
        <v>#REF!</v>
      </c>
    </row>
    <row r="16" spans="1:24" x14ac:dyDescent="0.2">
      <c r="A16" s="9" t="e">
        <f>RANK(B16,$B$12:$B$16)</f>
        <v>#REF!</v>
      </c>
      <c r="B16" s="11" t="e">
        <f>M16</f>
        <v>#REF!</v>
      </c>
      <c r="C16" s="13" t="s">
        <v>20</v>
      </c>
      <c r="D16" s="13" t="s">
        <v>25</v>
      </c>
      <c r="E16" s="10">
        <v>1601</v>
      </c>
      <c r="F16" s="10">
        <v>1463</v>
      </c>
      <c r="G16" s="10">
        <v>1354</v>
      </c>
      <c r="H16" s="11">
        <v>-0.26236559139784948</v>
      </c>
      <c r="I16" s="11">
        <v>-0.25209542230818827</v>
      </c>
      <c r="J16" s="11">
        <v>-3.8947900859888862E-2</v>
      </c>
      <c r="K16" s="126" t="e">
        <f>(SUMIFS(#REF!,#REF!,基础表!$C16,#REF!,基础表!$D16))*1000</f>
        <v>#REF!</v>
      </c>
      <c r="L16" s="126" t="e">
        <f>(SUMIFS(#REF!,#REF!,基础表!$C16,#REF!,基础表!$D16))*1000</f>
        <v>#REF!</v>
      </c>
      <c r="M16" s="11" t="e">
        <f t="shared" si="3"/>
        <v>#REF!</v>
      </c>
      <c r="N16" s="126" t="e">
        <f>(SUMIFS(#REF!,#REF!,基础表!$C16,#REF!,基础表!$D16))*1000</f>
        <v>#REF!</v>
      </c>
      <c r="O16" s="11" t="e">
        <f>SUMIFS(#REF!,#REF!,基础表!$C16,#REF!,基础表!$D16)</f>
        <v>#REF!</v>
      </c>
      <c r="P16" s="11" t="e">
        <f>SUMIFS(#REF!,#REF!,基础表!$C16,#REF!,基础表!$D16)</f>
        <v>#REF!</v>
      </c>
      <c r="Q16" s="11" t="e">
        <f>SUMIFS(#REF!,#REF!,基础表!$C16,#REF!,基础表!$D16)</f>
        <v>#REF!</v>
      </c>
      <c r="R16" s="11" t="e">
        <f>SUMIFS(#REF!,#REF!,基础表!$C16,#REF!,基础表!$D16)</f>
        <v>#REF!</v>
      </c>
      <c r="S16" s="11" t="e">
        <f>SUMIFS(#REF!,#REF!,基础表!$C16,#REF!,基础表!$D16)</f>
        <v>#REF!</v>
      </c>
      <c r="T16" s="11" t="e">
        <f>SUMIFS(#REF!,#REF!,基础表!$C16,#REF!,基础表!$D16)</f>
        <v>#REF!</v>
      </c>
      <c r="U16" s="11" t="e">
        <f>SUMIFS(#REF!,#REF!,基础表!$C16,#REF!,基础表!$D16)</f>
        <v>#REF!</v>
      </c>
    </row>
    <row r="17" spans="1:21" x14ac:dyDescent="0.2">
      <c r="C17" s="13" t="s">
        <v>20</v>
      </c>
      <c r="D17" s="13" t="s">
        <v>3</v>
      </c>
      <c r="E17" s="10">
        <v>5600</v>
      </c>
      <c r="F17" s="10">
        <v>5119</v>
      </c>
      <c r="G17" s="10">
        <v>4720</v>
      </c>
      <c r="H17" s="11">
        <v>9.9121706398996229E-2</v>
      </c>
      <c r="I17" s="11">
        <v>-0.14561855670103094</v>
      </c>
      <c r="J17" s="11">
        <v>-0.34285714285714275</v>
      </c>
      <c r="K17" s="126" t="e">
        <f>(SUMIFS(#REF!,#REF!,基础表!$C17,#REF!,基础表!$D17))*1000</f>
        <v>#REF!</v>
      </c>
      <c r="L17" s="126" t="e">
        <f>(SUMIFS(#REF!,#REF!,基础表!$C17,#REF!,基础表!$D17))*1000</f>
        <v>#REF!</v>
      </c>
      <c r="M17" s="11" t="e">
        <f t="shared" si="3"/>
        <v>#REF!</v>
      </c>
      <c r="N17" s="126" t="e">
        <f>(SUMIFS(#REF!,#REF!,基础表!$C17,#REF!,基础表!$D17))*1000</f>
        <v>#REF!</v>
      </c>
      <c r="O17" s="11" t="e">
        <f>SUMIFS(#REF!,#REF!,基础表!$C17,#REF!,基础表!$D17)</f>
        <v>#REF!</v>
      </c>
      <c r="P17" s="11" t="e">
        <f>SUMIFS(#REF!,#REF!,基础表!$C17,#REF!,基础表!$D17)</f>
        <v>#REF!</v>
      </c>
      <c r="Q17" s="11" t="e">
        <f>SUMIFS(#REF!,#REF!,基础表!$C17,#REF!,基础表!$D17)</f>
        <v>#REF!</v>
      </c>
      <c r="R17" s="11" t="e">
        <f>SUMIFS(#REF!,#REF!,基础表!$C17,#REF!,基础表!$D17)</f>
        <v>#REF!</v>
      </c>
      <c r="S17" s="11" t="e">
        <f>SUMIFS(#REF!,#REF!,基础表!$C17,#REF!,基础表!$D17)</f>
        <v>#REF!</v>
      </c>
      <c r="T17" s="11" t="e">
        <f>SUMIFS(#REF!,#REF!,基础表!$C17,#REF!,基础表!$D17)</f>
        <v>#REF!</v>
      </c>
      <c r="U17" s="11" t="e">
        <f>SUMIFS(#REF!,#REF!,基础表!$C17,#REF!,基础表!$D17)</f>
        <v>#REF!</v>
      </c>
    </row>
    <row r="18" spans="1:21" x14ac:dyDescent="0.2">
      <c r="A18" s="9" t="e">
        <f>RANK(B18,$B$18:$B$24)</f>
        <v>#REF!</v>
      </c>
      <c r="B18" s="11" t="e">
        <f t="shared" ref="B18:B24" si="4">M18</f>
        <v>#REF!</v>
      </c>
      <c r="C18" s="13" t="s">
        <v>12</v>
      </c>
      <c r="D18" s="13" t="s">
        <v>13</v>
      </c>
      <c r="E18" s="10">
        <v>408</v>
      </c>
      <c r="F18" s="10">
        <v>373</v>
      </c>
      <c r="G18" s="10">
        <v>240</v>
      </c>
      <c r="H18" s="11">
        <v>9.8844672657252899E-2</v>
      </c>
      <c r="I18" s="11">
        <v>-0.20047031158142267</v>
      </c>
      <c r="J18" s="11">
        <v>-7.0086705202312083E-2</v>
      </c>
      <c r="K18" s="126" t="e">
        <f>(SUMIFS(#REF!,#REF!,基础表!$C18,#REF!,基础表!$D18))*1000</f>
        <v>#REF!</v>
      </c>
      <c r="L18" s="126" t="e">
        <f>(SUMIFS(#REF!,#REF!,基础表!$C18,#REF!,基础表!$D18))*1000</f>
        <v>#REF!</v>
      </c>
      <c r="M18" s="11" t="e">
        <f t="shared" si="3"/>
        <v>#REF!</v>
      </c>
      <c r="N18" s="126" t="e">
        <f>(SUMIFS(#REF!,#REF!,基础表!$C18,#REF!,基础表!$D18))*1000</f>
        <v>#REF!</v>
      </c>
      <c r="O18" s="11" t="e">
        <f>SUMIFS(#REF!,#REF!,基础表!$C18,#REF!,基础表!$D18)</f>
        <v>#REF!</v>
      </c>
      <c r="P18" s="11" t="e">
        <f>SUMIFS(#REF!,#REF!,基础表!$C18,#REF!,基础表!$D18)</f>
        <v>#REF!</v>
      </c>
      <c r="Q18" s="11" t="e">
        <f>SUMIFS(#REF!,#REF!,基础表!$C18,#REF!,基础表!$D18)</f>
        <v>#REF!</v>
      </c>
      <c r="R18" s="11" t="e">
        <f>SUMIFS(#REF!,#REF!,基础表!$C18,#REF!,基础表!$D18)</f>
        <v>#REF!</v>
      </c>
      <c r="S18" s="11" t="e">
        <f>SUMIFS(#REF!,#REF!,基础表!$C18,#REF!,基础表!$D18)</f>
        <v>#REF!</v>
      </c>
      <c r="T18" s="11" t="e">
        <f>SUMIFS(#REF!,#REF!,基础表!$C18,#REF!,基础表!$D18)</f>
        <v>#REF!</v>
      </c>
      <c r="U18" s="11" t="e">
        <f>SUMIFS(#REF!,#REF!,基础表!$C18,#REF!,基础表!$D18)</f>
        <v>#REF!</v>
      </c>
    </row>
    <row r="19" spans="1:21" x14ac:dyDescent="0.2">
      <c r="A19" s="9" t="e">
        <f t="shared" ref="A19:A24" si="5">RANK(B19,$B$18:$B$24)</f>
        <v>#REF!</v>
      </c>
      <c r="B19" s="11" t="e">
        <f t="shared" si="4"/>
        <v>#REF!</v>
      </c>
      <c r="C19" s="13" t="s">
        <v>12</v>
      </c>
      <c r="D19" s="13" t="s">
        <v>14</v>
      </c>
      <c r="E19" s="10">
        <v>663</v>
      </c>
      <c r="F19" s="10">
        <v>715</v>
      </c>
      <c r="G19" s="10">
        <v>833</v>
      </c>
      <c r="H19" s="11">
        <v>1.0214504596527069E-3</v>
      </c>
      <c r="I19" s="11">
        <v>-0.180572681189204</v>
      </c>
      <c r="J19" s="11">
        <v>-9.9508436296001035E-2</v>
      </c>
      <c r="K19" s="126" t="e">
        <f>(SUMIFS(#REF!,#REF!,基础表!$C19,#REF!,基础表!$D19))*1000</f>
        <v>#REF!</v>
      </c>
      <c r="L19" s="126" t="e">
        <f>(SUMIFS(#REF!,#REF!,基础表!$C19,#REF!,基础表!$D19))*1000</f>
        <v>#REF!</v>
      </c>
      <c r="M19" s="11" t="e">
        <f t="shared" si="3"/>
        <v>#REF!</v>
      </c>
      <c r="N19" s="126" t="e">
        <f>(SUMIFS(#REF!,#REF!,基础表!$C19,#REF!,基础表!$D19))*1000</f>
        <v>#REF!</v>
      </c>
      <c r="O19" s="11" t="e">
        <f>SUMIFS(#REF!,#REF!,基础表!$C19,#REF!,基础表!$D19)</f>
        <v>#REF!</v>
      </c>
      <c r="P19" s="11" t="e">
        <f>SUMIFS(#REF!,#REF!,基础表!$C19,#REF!,基础表!$D19)</f>
        <v>#REF!</v>
      </c>
      <c r="Q19" s="11" t="e">
        <f>SUMIFS(#REF!,#REF!,基础表!$C19,#REF!,基础表!$D19)</f>
        <v>#REF!</v>
      </c>
      <c r="R19" s="11" t="e">
        <f>SUMIFS(#REF!,#REF!,基础表!$C19,#REF!,基础表!$D19)</f>
        <v>#REF!</v>
      </c>
      <c r="S19" s="11" t="e">
        <f>SUMIFS(#REF!,#REF!,基础表!$C19,#REF!,基础表!$D19)</f>
        <v>#REF!</v>
      </c>
      <c r="T19" s="11" t="e">
        <f>SUMIFS(#REF!,#REF!,基础表!$C19,#REF!,基础表!$D19)</f>
        <v>#REF!</v>
      </c>
      <c r="U19" s="11" t="e">
        <f>SUMIFS(#REF!,#REF!,基础表!$C19,#REF!,基础表!$D19)</f>
        <v>#REF!</v>
      </c>
    </row>
    <row r="20" spans="1:21" x14ac:dyDescent="0.2">
      <c r="A20" s="9" t="e">
        <f t="shared" si="5"/>
        <v>#REF!</v>
      </c>
      <c r="B20" s="11" t="e">
        <f t="shared" si="4"/>
        <v>#REF!</v>
      </c>
      <c r="C20" s="13" t="s">
        <v>12</v>
      </c>
      <c r="D20" s="13" t="s">
        <v>15</v>
      </c>
      <c r="E20" s="10">
        <v>261</v>
      </c>
      <c r="F20" s="10">
        <v>510</v>
      </c>
      <c r="G20" s="10">
        <v>527</v>
      </c>
      <c r="H20" s="11">
        <v>-0.15185185185185185</v>
      </c>
      <c r="I20" s="11">
        <v>0.22699386503067484</v>
      </c>
      <c r="J20" s="11">
        <v>-0.17447916666666663</v>
      </c>
      <c r="K20" s="126" t="e">
        <f>(SUMIFS(#REF!,#REF!,基础表!$C20,#REF!,基础表!$D20))*1000</f>
        <v>#REF!</v>
      </c>
      <c r="L20" s="126" t="e">
        <f>(SUMIFS(#REF!,#REF!,基础表!$C20,#REF!,基础表!$D20))*1000</f>
        <v>#REF!</v>
      </c>
      <c r="M20" s="11" t="e">
        <f t="shared" si="3"/>
        <v>#REF!</v>
      </c>
      <c r="N20" s="126" t="e">
        <f>(SUMIFS(#REF!,#REF!,基础表!$C20,#REF!,基础表!$D20))*1000</f>
        <v>#REF!</v>
      </c>
      <c r="O20" s="11" t="e">
        <f>SUMIFS(#REF!,#REF!,基础表!$C20,#REF!,基础表!$D20)</f>
        <v>#REF!</v>
      </c>
      <c r="P20" s="11" t="e">
        <f>SUMIFS(#REF!,#REF!,基础表!$C20,#REF!,基础表!$D20)</f>
        <v>#REF!</v>
      </c>
      <c r="Q20" s="11" t="e">
        <f>SUMIFS(#REF!,#REF!,基础表!$C20,#REF!,基础表!$D20)</f>
        <v>#REF!</v>
      </c>
      <c r="R20" s="11" t="e">
        <f>SUMIFS(#REF!,#REF!,基础表!$C20,#REF!,基础表!$D20)</f>
        <v>#REF!</v>
      </c>
      <c r="S20" s="11" t="e">
        <f>SUMIFS(#REF!,#REF!,基础表!$C20,#REF!,基础表!$D20)</f>
        <v>#REF!</v>
      </c>
      <c r="T20" s="11" t="e">
        <f>SUMIFS(#REF!,#REF!,基础表!$C20,#REF!,基础表!$D20)</f>
        <v>#REF!</v>
      </c>
      <c r="U20" s="11" t="e">
        <f>SUMIFS(#REF!,#REF!,基础表!$C20,#REF!,基础表!$D20)</f>
        <v>#REF!</v>
      </c>
    </row>
    <row r="21" spans="1:21" x14ac:dyDescent="0.2">
      <c r="A21" s="9" t="e">
        <f t="shared" si="5"/>
        <v>#REF!</v>
      </c>
      <c r="B21" s="11" t="e">
        <f t="shared" si="4"/>
        <v>#REF!</v>
      </c>
      <c r="C21" s="13" t="s">
        <v>12</v>
      </c>
      <c r="D21" s="13" t="s">
        <v>16</v>
      </c>
      <c r="E21" s="10">
        <v>1355</v>
      </c>
      <c r="F21" s="10">
        <v>1313</v>
      </c>
      <c r="G21" s="10">
        <v>1600</v>
      </c>
      <c r="H21" s="11">
        <v>-8.1250000000000003E-2</v>
      </c>
      <c r="I21" s="11">
        <v>-0.18909090909090909</v>
      </c>
      <c r="J21" s="11">
        <v>-5.563689604685218E-2</v>
      </c>
      <c r="K21" s="126" t="e">
        <f>(SUMIFS(#REF!,#REF!,基础表!$C21,#REF!,基础表!$D21))*1000</f>
        <v>#REF!</v>
      </c>
      <c r="L21" s="126" t="e">
        <f>(SUMIFS(#REF!,#REF!,基础表!$C21,#REF!,基础表!$D21))*1000</f>
        <v>#REF!</v>
      </c>
      <c r="M21" s="11" t="e">
        <f t="shared" si="3"/>
        <v>#REF!</v>
      </c>
      <c r="N21" s="126" t="e">
        <f>(SUMIFS(#REF!,#REF!,基础表!$C21,#REF!,基础表!$D21))*1000</f>
        <v>#REF!</v>
      </c>
      <c r="O21" s="11" t="e">
        <f>SUMIFS(#REF!,#REF!,基础表!$C21,#REF!,基础表!$D21)</f>
        <v>#REF!</v>
      </c>
      <c r="P21" s="11" t="e">
        <f>SUMIFS(#REF!,#REF!,基础表!$C21,#REF!,基础表!$D21)</f>
        <v>#REF!</v>
      </c>
      <c r="Q21" s="11" t="e">
        <f>SUMIFS(#REF!,#REF!,基础表!$C21,#REF!,基础表!$D21)</f>
        <v>#REF!</v>
      </c>
      <c r="R21" s="11" t="e">
        <f>SUMIFS(#REF!,#REF!,基础表!$C21,#REF!,基础表!$D21)</f>
        <v>#REF!</v>
      </c>
      <c r="S21" s="11" t="e">
        <f>SUMIFS(#REF!,#REF!,基础表!$C21,#REF!,基础表!$D21)</f>
        <v>#REF!</v>
      </c>
      <c r="T21" s="11" t="e">
        <f>SUMIFS(#REF!,#REF!,基础表!$C21,#REF!,基础表!$D21)</f>
        <v>#REF!</v>
      </c>
      <c r="U21" s="11" t="e">
        <f>SUMIFS(#REF!,#REF!,基础表!$C21,#REF!,基础表!$D21)</f>
        <v>#REF!</v>
      </c>
    </row>
    <row r="22" spans="1:21" x14ac:dyDescent="0.2">
      <c r="A22" s="9" t="e">
        <f t="shared" si="5"/>
        <v>#REF!</v>
      </c>
      <c r="B22" s="11" t="e">
        <f t="shared" si="4"/>
        <v>#REF!</v>
      </c>
      <c r="C22" s="13" t="s">
        <v>12</v>
      </c>
      <c r="D22" s="13" t="s">
        <v>17</v>
      </c>
      <c r="E22" s="10">
        <v>1754</v>
      </c>
      <c r="F22" s="10">
        <v>1422</v>
      </c>
      <c r="G22" s="10">
        <v>1900</v>
      </c>
      <c r="H22" s="11">
        <v>0.12857142857142859</v>
      </c>
      <c r="I22" s="11">
        <v>-7.7184054283290934E-2</v>
      </c>
      <c r="J22" s="11">
        <v>-9.4408133623819834E-2</v>
      </c>
      <c r="K22" s="126" t="e">
        <f>(SUMIFS(#REF!,#REF!,基础表!$C22,#REF!,基础表!$D22))*1000</f>
        <v>#REF!</v>
      </c>
      <c r="L22" s="126" t="e">
        <f>(SUMIFS(#REF!,#REF!,基础表!$C22,#REF!,基础表!$D22))*1000</f>
        <v>#REF!</v>
      </c>
      <c r="M22" s="11" t="e">
        <f t="shared" si="3"/>
        <v>#REF!</v>
      </c>
      <c r="N22" s="126" t="e">
        <f>(SUMIFS(#REF!,#REF!,基础表!$C22,#REF!,基础表!$D22))*1000</f>
        <v>#REF!</v>
      </c>
      <c r="O22" s="11" t="e">
        <f>SUMIFS(#REF!,#REF!,基础表!$C22,#REF!,基础表!$D22)</f>
        <v>#REF!</v>
      </c>
      <c r="P22" s="11" t="e">
        <f>SUMIFS(#REF!,#REF!,基础表!$C22,#REF!,基础表!$D22)</f>
        <v>#REF!</v>
      </c>
      <c r="Q22" s="11" t="e">
        <f>SUMIFS(#REF!,#REF!,基础表!$C22,#REF!,基础表!$D22)</f>
        <v>#REF!</v>
      </c>
      <c r="R22" s="11" t="e">
        <f>SUMIFS(#REF!,#REF!,基础表!$C22,#REF!,基础表!$D22)</f>
        <v>#REF!</v>
      </c>
      <c r="S22" s="11" t="e">
        <f>SUMIFS(#REF!,#REF!,基础表!$C22,#REF!,基础表!$D22)</f>
        <v>#REF!</v>
      </c>
      <c r="T22" s="11" t="e">
        <f>SUMIFS(#REF!,#REF!,基础表!$C22,#REF!,基础表!$D22)</f>
        <v>#REF!</v>
      </c>
      <c r="U22" s="11" t="e">
        <f>SUMIFS(#REF!,#REF!,基础表!$C22,#REF!,基础表!$D22)</f>
        <v>#REF!</v>
      </c>
    </row>
    <row r="23" spans="1:21" x14ac:dyDescent="0.2">
      <c r="A23" s="9" t="e">
        <f t="shared" si="5"/>
        <v>#REF!</v>
      </c>
      <c r="B23" s="11" t="e">
        <f t="shared" si="4"/>
        <v>#REF!</v>
      </c>
      <c r="C23" s="13" t="s">
        <v>12</v>
      </c>
      <c r="D23" s="13" t="s">
        <v>18</v>
      </c>
      <c r="E23" s="10">
        <v>494</v>
      </c>
      <c r="F23" s="10">
        <v>401</v>
      </c>
      <c r="G23" s="10">
        <v>391</v>
      </c>
      <c r="H23" s="11">
        <v>6.0574948665297744E-2</v>
      </c>
      <c r="I23" s="11">
        <v>-0.21624173748819639</v>
      </c>
      <c r="J23" s="11">
        <v>-0.11111111111111105</v>
      </c>
      <c r="K23" s="126" t="e">
        <f>(SUMIFS(#REF!,#REF!,基础表!$C23,#REF!,基础表!$D23))*1000</f>
        <v>#REF!</v>
      </c>
      <c r="L23" s="126" t="e">
        <f>(SUMIFS(#REF!,#REF!,基础表!$C23,#REF!,基础表!$D23))*1000</f>
        <v>#REF!</v>
      </c>
      <c r="M23" s="11" t="e">
        <f t="shared" si="3"/>
        <v>#REF!</v>
      </c>
      <c r="N23" s="126" t="e">
        <f>(SUMIFS(#REF!,#REF!,基础表!$C23,#REF!,基础表!$D23))*1000</f>
        <v>#REF!</v>
      </c>
      <c r="O23" s="11" t="e">
        <f>SUMIFS(#REF!,#REF!,基础表!$C23,#REF!,基础表!$D23)</f>
        <v>#REF!</v>
      </c>
      <c r="P23" s="11" t="e">
        <f>SUMIFS(#REF!,#REF!,基础表!$C23,#REF!,基础表!$D23)</f>
        <v>#REF!</v>
      </c>
      <c r="Q23" s="11" t="e">
        <f>SUMIFS(#REF!,#REF!,基础表!$C23,#REF!,基础表!$D23)</f>
        <v>#REF!</v>
      </c>
      <c r="R23" s="11" t="e">
        <f>SUMIFS(#REF!,#REF!,基础表!$C23,#REF!,基础表!$D23)</f>
        <v>#REF!</v>
      </c>
      <c r="S23" s="11" t="e">
        <f>SUMIFS(#REF!,#REF!,基础表!$C23,#REF!,基础表!$D23)</f>
        <v>#REF!</v>
      </c>
      <c r="T23" s="11" t="e">
        <f>SUMIFS(#REF!,#REF!,基础表!$C23,#REF!,基础表!$D23)</f>
        <v>#REF!</v>
      </c>
      <c r="U23" s="11" t="e">
        <f>SUMIFS(#REF!,#REF!,基础表!$C23,#REF!,基础表!$D23)</f>
        <v>#REF!</v>
      </c>
    </row>
    <row r="24" spans="1:21" x14ac:dyDescent="0.2">
      <c r="A24" s="9" t="e">
        <f t="shared" si="5"/>
        <v>#REF!</v>
      </c>
      <c r="B24" s="11" t="e">
        <f t="shared" si="4"/>
        <v>#REF!</v>
      </c>
      <c r="C24" s="13" t="s">
        <v>12</v>
      </c>
      <c r="D24" s="13" t="s">
        <v>19</v>
      </c>
      <c r="E24" s="10">
        <v>1925</v>
      </c>
      <c r="F24" s="10">
        <v>1247</v>
      </c>
      <c r="G24" s="10">
        <v>1287</v>
      </c>
      <c r="H24" s="11">
        <v>8.8216761184625077E-3</v>
      </c>
      <c r="I24" s="11">
        <v>-0.13636363636363635</v>
      </c>
      <c r="J24" s="11">
        <v>-0.11154855643044614</v>
      </c>
      <c r="K24" s="126" t="e">
        <f>(SUMIFS(#REF!,#REF!,基础表!$C24,#REF!,基础表!$D24))*1000</f>
        <v>#REF!</v>
      </c>
      <c r="L24" s="126" t="e">
        <f>(SUMIFS(#REF!,#REF!,基础表!$C24,#REF!,基础表!$D24))*1000</f>
        <v>#REF!</v>
      </c>
      <c r="M24" s="11" t="e">
        <f t="shared" si="3"/>
        <v>#REF!</v>
      </c>
      <c r="N24" s="126" t="e">
        <f>(SUMIFS(#REF!,#REF!,基础表!$C24,#REF!,基础表!$D24))*1000</f>
        <v>#REF!</v>
      </c>
      <c r="O24" s="11" t="e">
        <f>SUMIFS(#REF!,#REF!,基础表!$C24,#REF!,基础表!$D24)</f>
        <v>#REF!</v>
      </c>
      <c r="P24" s="11" t="e">
        <f>SUMIFS(#REF!,#REF!,基础表!$C24,#REF!,基础表!$D24)</f>
        <v>#REF!</v>
      </c>
      <c r="Q24" s="11" t="e">
        <f>SUMIFS(#REF!,#REF!,基础表!$C24,#REF!,基础表!$D24)</f>
        <v>#REF!</v>
      </c>
      <c r="R24" s="11" t="e">
        <f>SUMIFS(#REF!,#REF!,基础表!$C24,#REF!,基础表!$D24)</f>
        <v>#REF!</v>
      </c>
      <c r="S24" s="11" t="e">
        <f>SUMIFS(#REF!,#REF!,基础表!$C24,#REF!,基础表!$D24)</f>
        <v>#REF!</v>
      </c>
      <c r="T24" s="11" t="e">
        <f>SUMIFS(#REF!,#REF!,基础表!$C24,#REF!,基础表!$D24)</f>
        <v>#REF!</v>
      </c>
      <c r="U24" s="11" t="e">
        <f>SUMIFS(#REF!,#REF!,基础表!$C24,#REF!,基础表!$D24)</f>
        <v>#REF!</v>
      </c>
    </row>
    <row r="25" spans="1:21" x14ac:dyDescent="0.2">
      <c r="C25" s="13" t="s">
        <v>12</v>
      </c>
      <c r="D25" s="13" t="s">
        <v>3</v>
      </c>
      <c r="E25" s="10">
        <v>6860</v>
      </c>
      <c r="F25" s="10">
        <v>5981</v>
      </c>
      <c r="G25" s="10">
        <v>6778</v>
      </c>
      <c r="H25" s="11">
        <v>1.4306151645207441E-3</v>
      </c>
      <c r="I25" s="11">
        <v>-0.14754371357202331</v>
      </c>
      <c r="J25" s="11">
        <v>-9.8376313276026806E-2</v>
      </c>
      <c r="K25" s="126" t="e">
        <f>(SUMIFS(#REF!,#REF!,基础表!$C25,#REF!,基础表!$D25))*1000</f>
        <v>#REF!</v>
      </c>
      <c r="L25" s="126" t="e">
        <f>(SUMIFS(#REF!,#REF!,基础表!$C25,#REF!,基础表!$D25))*1000</f>
        <v>#REF!</v>
      </c>
      <c r="M25" s="11" t="e">
        <f t="shared" si="3"/>
        <v>#REF!</v>
      </c>
      <c r="N25" s="126" t="e">
        <f>(SUMIFS(#REF!,#REF!,基础表!$C25,#REF!,基础表!$D25))*1000</f>
        <v>#REF!</v>
      </c>
      <c r="O25" s="11" t="e">
        <f>SUMIFS(#REF!,#REF!,基础表!$C25,#REF!,基础表!$D25)</f>
        <v>#REF!</v>
      </c>
      <c r="P25" s="11" t="e">
        <f>SUMIFS(#REF!,#REF!,基础表!$C25,#REF!,基础表!$D25)</f>
        <v>#REF!</v>
      </c>
      <c r="Q25" s="11" t="e">
        <f>SUMIFS(#REF!,#REF!,基础表!$C25,#REF!,基础表!$D25)</f>
        <v>#REF!</v>
      </c>
      <c r="R25" s="11" t="e">
        <f>SUMIFS(#REF!,#REF!,基础表!$C25,#REF!,基础表!$D25)</f>
        <v>#REF!</v>
      </c>
      <c r="S25" s="11" t="e">
        <f>SUMIFS(#REF!,#REF!,基础表!$C25,#REF!,基础表!$D25)</f>
        <v>#REF!</v>
      </c>
      <c r="T25" s="11" t="e">
        <f>SUMIFS(#REF!,#REF!,基础表!$C25,#REF!,基础表!$D25)</f>
        <v>#REF!</v>
      </c>
      <c r="U25" s="11" t="e">
        <f>SUMIFS(#REF!,#REF!,基础表!$C25,#REF!,基础表!$D25)</f>
        <v>#REF!</v>
      </c>
    </row>
    <row r="26" spans="1:21" x14ac:dyDescent="0.2">
      <c r="A26" s="9" t="e">
        <f t="shared" ref="A26:A31" si="6">RANK(B26,$B$26:$B$31)</f>
        <v>#REF!</v>
      </c>
      <c r="B26" s="11" t="e">
        <f t="shared" ref="B26:B31" si="7">M26</f>
        <v>#REF!</v>
      </c>
      <c r="C26" s="13" t="s">
        <v>26</v>
      </c>
      <c r="D26" s="13" t="s">
        <v>27</v>
      </c>
      <c r="E26" s="10">
        <v>643</v>
      </c>
      <c r="F26" s="10">
        <v>644</v>
      </c>
      <c r="G26" s="10">
        <v>622</v>
      </c>
      <c r="H26" s="11">
        <v>3.1201248049921998E-3</v>
      </c>
      <c r="I26" s="11">
        <v>-3.0120481927710843E-2</v>
      </c>
      <c r="J26" s="11">
        <v>-0.12640449438202239</v>
      </c>
      <c r="K26" s="126" t="e">
        <f>(SUMIFS(#REF!,#REF!,基础表!$C26,#REF!,基础表!$D26))*1000</f>
        <v>#REF!</v>
      </c>
      <c r="L26" s="126" t="e">
        <f>(SUMIFS(#REF!,#REF!,基础表!$C26,#REF!,基础表!$D26))*1000</f>
        <v>#REF!</v>
      </c>
      <c r="M26" s="11" t="e">
        <f t="shared" si="3"/>
        <v>#REF!</v>
      </c>
      <c r="N26" s="126" t="e">
        <f>(SUMIFS(#REF!,#REF!,基础表!$C26,#REF!,基础表!$D26))*1000</f>
        <v>#REF!</v>
      </c>
      <c r="O26" s="11" t="e">
        <f>SUMIFS(#REF!,#REF!,基础表!$C26,#REF!,基础表!$D26)</f>
        <v>#REF!</v>
      </c>
      <c r="P26" s="11" t="e">
        <f>SUMIFS(#REF!,#REF!,基础表!$C26,#REF!,基础表!$D26)</f>
        <v>#REF!</v>
      </c>
      <c r="Q26" s="11" t="e">
        <f>SUMIFS(#REF!,#REF!,基础表!$C26,#REF!,基础表!$D26)</f>
        <v>#REF!</v>
      </c>
      <c r="R26" s="11" t="e">
        <f>SUMIFS(#REF!,#REF!,基础表!$C26,#REF!,基础表!$D26)</f>
        <v>#REF!</v>
      </c>
      <c r="S26" s="11" t="e">
        <f>SUMIFS(#REF!,#REF!,基础表!$C26,#REF!,基础表!$D26)</f>
        <v>#REF!</v>
      </c>
      <c r="T26" s="11" t="e">
        <f>SUMIFS(#REF!,#REF!,基础表!$C26,#REF!,基础表!$D26)</f>
        <v>#REF!</v>
      </c>
      <c r="U26" s="11" t="e">
        <f>SUMIFS(#REF!,#REF!,基础表!$C26,#REF!,基础表!$D26)</f>
        <v>#REF!</v>
      </c>
    </row>
    <row r="27" spans="1:21" x14ac:dyDescent="0.2">
      <c r="A27" s="9" t="e">
        <f t="shared" si="6"/>
        <v>#REF!</v>
      </c>
      <c r="B27" s="11" t="e">
        <f t="shared" si="7"/>
        <v>#REF!</v>
      </c>
      <c r="C27" s="13" t="s">
        <v>26</v>
      </c>
      <c r="D27" s="13" t="s">
        <v>28</v>
      </c>
      <c r="E27" s="10">
        <v>347</v>
      </c>
      <c r="F27" s="10">
        <v>384</v>
      </c>
      <c r="G27" s="10">
        <v>307</v>
      </c>
      <c r="H27" s="11">
        <v>-3.0840400925212031E-3</v>
      </c>
      <c r="I27" s="11">
        <v>-8.0621301775147938E-2</v>
      </c>
      <c r="J27" s="11">
        <v>-5.8282208588957052E-2</v>
      </c>
      <c r="K27" s="126" t="e">
        <f>(SUMIFS(#REF!,#REF!,基础表!$C27,#REF!,基础表!$D27))*1000</f>
        <v>#REF!</v>
      </c>
      <c r="L27" s="126" t="e">
        <f>(SUMIFS(#REF!,#REF!,基础表!$C27,#REF!,基础表!$D27))*1000</f>
        <v>#REF!</v>
      </c>
      <c r="M27" s="11" t="e">
        <f t="shared" si="3"/>
        <v>#REF!</v>
      </c>
      <c r="N27" s="126" t="e">
        <f>(SUMIFS(#REF!,#REF!,基础表!$C27,#REF!,基础表!$D27))*1000</f>
        <v>#REF!</v>
      </c>
      <c r="O27" s="11" t="e">
        <f>SUMIFS(#REF!,#REF!,基础表!$C27,#REF!,基础表!$D27)</f>
        <v>#REF!</v>
      </c>
      <c r="P27" s="11" t="e">
        <f>SUMIFS(#REF!,#REF!,基础表!$C27,#REF!,基础表!$D27)</f>
        <v>#REF!</v>
      </c>
      <c r="Q27" s="11" t="e">
        <f>SUMIFS(#REF!,#REF!,基础表!$C27,#REF!,基础表!$D27)</f>
        <v>#REF!</v>
      </c>
      <c r="R27" s="11" t="e">
        <f>SUMIFS(#REF!,#REF!,基础表!$C27,#REF!,基础表!$D27)</f>
        <v>#REF!</v>
      </c>
      <c r="S27" s="11" t="e">
        <f>SUMIFS(#REF!,#REF!,基础表!$C27,#REF!,基础表!$D27)</f>
        <v>#REF!</v>
      </c>
      <c r="T27" s="11" t="e">
        <f>SUMIFS(#REF!,#REF!,基础表!$C27,#REF!,基础表!$D27)</f>
        <v>#REF!</v>
      </c>
      <c r="U27" s="11" t="e">
        <f>SUMIFS(#REF!,#REF!,基础表!$C27,#REF!,基础表!$D27)</f>
        <v>#REF!</v>
      </c>
    </row>
    <row r="28" spans="1:21" x14ac:dyDescent="0.2">
      <c r="A28" s="9" t="e">
        <f t="shared" si="6"/>
        <v>#REF!</v>
      </c>
      <c r="B28" s="11" t="e">
        <f t="shared" si="7"/>
        <v>#REF!</v>
      </c>
      <c r="C28" s="13" t="s">
        <v>26</v>
      </c>
      <c r="D28" s="13" t="s">
        <v>29</v>
      </c>
      <c r="E28" s="10">
        <v>1508</v>
      </c>
      <c r="F28" s="10">
        <v>1539</v>
      </c>
      <c r="G28" s="10">
        <v>1004</v>
      </c>
      <c r="H28" s="11">
        <v>0</v>
      </c>
      <c r="I28" s="11">
        <v>-0.31417112299465244</v>
      </c>
      <c r="J28" s="11">
        <v>-0.14698385726423113</v>
      </c>
      <c r="K28" s="126" t="e">
        <f>(SUMIFS(#REF!,#REF!,基础表!$C28,#REF!,基础表!$D28))*1000</f>
        <v>#REF!</v>
      </c>
      <c r="L28" s="126" t="e">
        <f>(SUMIFS(#REF!,#REF!,基础表!$C28,#REF!,基础表!$D28))*1000</f>
        <v>#REF!</v>
      </c>
      <c r="M28" s="11" t="e">
        <f t="shared" si="3"/>
        <v>#REF!</v>
      </c>
      <c r="N28" s="126" t="e">
        <f>(SUMIFS(#REF!,#REF!,基础表!$C28,#REF!,基础表!$D28))*1000</f>
        <v>#REF!</v>
      </c>
      <c r="O28" s="11" t="e">
        <f>SUMIFS(#REF!,#REF!,基础表!$C28,#REF!,基础表!$D28)</f>
        <v>#REF!</v>
      </c>
      <c r="P28" s="11" t="e">
        <f>SUMIFS(#REF!,#REF!,基础表!$C28,#REF!,基础表!$D28)</f>
        <v>#REF!</v>
      </c>
      <c r="Q28" s="11" t="e">
        <f>SUMIFS(#REF!,#REF!,基础表!$C28,#REF!,基础表!$D28)</f>
        <v>#REF!</v>
      </c>
      <c r="R28" s="11" t="e">
        <f>SUMIFS(#REF!,#REF!,基础表!$C28,#REF!,基础表!$D28)</f>
        <v>#REF!</v>
      </c>
      <c r="S28" s="11" t="e">
        <f>SUMIFS(#REF!,#REF!,基础表!$C28,#REF!,基础表!$D28)</f>
        <v>#REF!</v>
      </c>
      <c r="T28" s="11" t="e">
        <f>SUMIFS(#REF!,#REF!,基础表!$C28,#REF!,基础表!$D28)</f>
        <v>#REF!</v>
      </c>
      <c r="U28" s="11" t="e">
        <f>SUMIFS(#REF!,#REF!,基础表!$C28,#REF!,基础表!$D28)</f>
        <v>#REF!</v>
      </c>
    </row>
    <row r="29" spans="1:21" x14ac:dyDescent="0.2">
      <c r="A29" s="9" t="e">
        <f t="shared" si="6"/>
        <v>#REF!</v>
      </c>
      <c r="B29" s="11" t="e">
        <f t="shared" si="7"/>
        <v>#REF!</v>
      </c>
      <c r="C29" s="13" t="s">
        <v>26</v>
      </c>
      <c r="D29" s="13" t="s">
        <v>156</v>
      </c>
      <c r="E29" s="10">
        <v>1580</v>
      </c>
      <c r="F29" s="10">
        <v>1368</v>
      </c>
      <c r="G29" s="10">
        <v>1082</v>
      </c>
      <c r="H29" s="11">
        <v>0</v>
      </c>
      <c r="I29" s="11">
        <v>-9.3283582089552244E-2</v>
      </c>
      <c r="J29" s="11">
        <v>-5.5021834061135366E-2</v>
      </c>
      <c r="K29" s="126" t="e">
        <f>(SUMIFS(#REF!,#REF!,基础表!$C29,#REF!,基础表!$D29))*1000</f>
        <v>#REF!</v>
      </c>
      <c r="L29" s="126" t="e">
        <f>(SUMIFS(#REF!,#REF!,基础表!$C29,#REF!,基础表!$D29))*1000</f>
        <v>#REF!</v>
      </c>
      <c r="M29" s="11" t="e">
        <f t="shared" si="3"/>
        <v>#REF!</v>
      </c>
      <c r="N29" s="126" t="e">
        <f>(SUMIFS(#REF!,#REF!,基础表!$C29,#REF!,基础表!$D29))*1000</f>
        <v>#REF!</v>
      </c>
      <c r="O29" s="11" t="e">
        <f>SUMIFS(#REF!,#REF!,基础表!$C29,#REF!,基础表!$D29)</f>
        <v>#REF!</v>
      </c>
      <c r="P29" s="11" t="e">
        <f>SUMIFS(#REF!,#REF!,基础表!$C29,#REF!,基础表!$D29)</f>
        <v>#REF!</v>
      </c>
      <c r="Q29" s="11" t="e">
        <f>SUMIFS(#REF!,#REF!,基础表!$C29,#REF!,基础表!$D29)</f>
        <v>#REF!</v>
      </c>
      <c r="R29" s="11" t="e">
        <f>SUMIFS(#REF!,#REF!,基础表!$C29,#REF!,基础表!$D29)</f>
        <v>#REF!</v>
      </c>
      <c r="S29" s="11" t="e">
        <f>SUMIFS(#REF!,#REF!,基础表!$C29,#REF!,基础表!$D29)</f>
        <v>#REF!</v>
      </c>
      <c r="T29" s="11" t="e">
        <f>SUMIFS(#REF!,#REF!,基础表!$C29,#REF!,基础表!$D29)</f>
        <v>#REF!</v>
      </c>
      <c r="U29" s="11" t="e">
        <f>SUMIFS(#REF!,#REF!,基础表!$C29,#REF!,基础表!$D29)</f>
        <v>#REF!</v>
      </c>
    </row>
    <row r="30" spans="1:21" x14ac:dyDescent="0.2">
      <c r="A30" s="9" t="e">
        <f t="shared" si="6"/>
        <v>#REF!</v>
      </c>
      <c r="B30" s="11" t="e">
        <f t="shared" si="7"/>
        <v>#REF!</v>
      </c>
      <c r="C30" s="13" t="s">
        <v>26</v>
      </c>
      <c r="D30" s="13" t="s">
        <v>30</v>
      </c>
      <c r="E30" s="10">
        <v>1150</v>
      </c>
      <c r="F30" s="10">
        <v>1208</v>
      </c>
      <c r="G30" s="10">
        <v>869</v>
      </c>
      <c r="H30" s="11">
        <v>1.3140604467805519E-3</v>
      </c>
      <c r="I30" s="11">
        <v>-4.8684210526315788E-2</v>
      </c>
      <c r="J30" s="11">
        <v>-0.14215202369200386</v>
      </c>
      <c r="K30" s="126" t="e">
        <f>(SUMIFS(#REF!,#REF!,基础表!$C30,#REF!,基础表!$D30))*1000</f>
        <v>#REF!</v>
      </c>
      <c r="L30" s="126" t="e">
        <f>(SUMIFS(#REF!,#REF!,基础表!$C30,#REF!,基础表!$D30))*1000</f>
        <v>#REF!</v>
      </c>
      <c r="M30" s="11" t="e">
        <f t="shared" si="3"/>
        <v>#REF!</v>
      </c>
      <c r="N30" s="126" t="e">
        <f>(SUMIFS(#REF!,#REF!,基础表!$C30,#REF!,基础表!$D30))*1000</f>
        <v>#REF!</v>
      </c>
      <c r="O30" s="11" t="e">
        <f>SUMIFS(#REF!,#REF!,基础表!$C30,#REF!,基础表!$D30)</f>
        <v>#REF!</v>
      </c>
      <c r="P30" s="11" t="e">
        <f>SUMIFS(#REF!,#REF!,基础表!$C30,#REF!,基础表!$D30)</f>
        <v>#REF!</v>
      </c>
      <c r="Q30" s="11" t="e">
        <f>SUMIFS(#REF!,#REF!,基础表!$C30,#REF!,基础表!$D30)</f>
        <v>#REF!</v>
      </c>
      <c r="R30" s="11" t="e">
        <f>SUMIFS(#REF!,#REF!,基础表!$C30,#REF!,基础表!$D30)</f>
        <v>#REF!</v>
      </c>
      <c r="S30" s="11" t="e">
        <f>SUMIFS(#REF!,#REF!,基础表!$C30,#REF!,基础表!$D30)</f>
        <v>#REF!</v>
      </c>
      <c r="T30" s="11" t="e">
        <f>SUMIFS(#REF!,#REF!,基础表!$C30,#REF!,基础表!$D30)</f>
        <v>#REF!</v>
      </c>
      <c r="U30" s="11" t="e">
        <f>SUMIFS(#REF!,#REF!,基础表!$C30,#REF!,基础表!$D30)</f>
        <v>#REF!</v>
      </c>
    </row>
    <row r="31" spans="1:21" x14ac:dyDescent="0.2">
      <c r="A31" s="9" t="e">
        <f t="shared" si="6"/>
        <v>#REF!</v>
      </c>
      <c r="B31" s="11" t="e">
        <f t="shared" si="7"/>
        <v>#REF!</v>
      </c>
      <c r="C31" s="13" t="s">
        <v>26</v>
      </c>
      <c r="D31" s="13" t="s">
        <v>31</v>
      </c>
      <c r="E31" s="10">
        <v>2073</v>
      </c>
      <c r="F31" s="10">
        <v>1674</v>
      </c>
      <c r="G31" s="10">
        <v>1211</v>
      </c>
      <c r="H31" s="11">
        <v>0</v>
      </c>
      <c r="I31" s="11">
        <v>-6.0155239327296252E-2</v>
      </c>
      <c r="J31" s="11">
        <v>-0.24501246882793015</v>
      </c>
      <c r="K31" s="126" t="e">
        <f>(SUMIFS(#REF!,#REF!,基础表!$C31,#REF!,基础表!$D31))*1000</f>
        <v>#REF!</v>
      </c>
      <c r="L31" s="126" t="e">
        <f>(SUMIFS(#REF!,#REF!,基础表!$C31,#REF!,基础表!$D31))*1000</f>
        <v>#REF!</v>
      </c>
      <c r="M31" s="11" t="e">
        <f t="shared" si="3"/>
        <v>#REF!</v>
      </c>
      <c r="N31" s="126" t="e">
        <f>(SUMIFS(#REF!,#REF!,基础表!$C31,#REF!,基础表!$D31))*1000</f>
        <v>#REF!</v>
      </c>
      <c r="O31" s="11" t="e">
        <f>SUMIFS(#REF!,#REF!,基础表!$C31,#REF!,基础表!$D31)</f>
        <v>#REF!</v>
      </c>
      <c r="P31" s="11" t="e">
        <f>SUMIFS(#REF!,#REF!,基础表!$C31,#REF!,基础表!$D31)</f>
        <v>#REF!</v>
      </c>
      <c r="Q31" s="11" t="e">
        <f>SUMIFS(#REF!,#REF!,基础表!$C31,#REF!,基础表!$D31)</f>
        <v>#REF!</v>
      </c>
      <c r="R31" s="11" t="e">
        <f>SUMIFS(#REF!,#REF!,基础表!$C31,#REF!,基础表!$D31)</f>
        <v>#REF!</v>
      </c>
      <c r="S31" s="11" t="e">
        <f>SUMIFS(#REF!,#REF!,基础表!$C31,#REF!,基础表!$D31)</f>
        <v>#REF!</v>
      </c>
      <c r="T31" s="11" t="e">
        <f>SUMIFS(#REF!,#REF!,基础表!$C31,#REF!,基础表!$D31)</f>
        <v>#REF!</v>
      </c>
      <c r="U31" s="11" t="e">
        <f>SUMIFS(#REF!,#REF!,基础表!$C31,#REF!,基础表!$D31)</f>
        <v>#REF!</v>
      </c>
    </row>
    <row r="32" spans="1:21" x14ac:dyDescent="0.2">
      <c r="C32" s="13" t="s">
        <v>26</v>
      </c>
      <c r="D32" s="13" t="s">
        <v>3</v>
      </c>
      <c r="E32" s="10">
        <v>7305</v>
      </c>
      <c r="F32" s="10">
        <v>6817</v>
      </c>
      <c r="G32" s="10">
        <v>5102</v>
      </c>
      <c r="H32" s="11">
        <v>4.0916530278232408E-4</v>
      </c>
      <c r="I32" s="11">
        <v>-0.14776847105888236</v>
      </c>
      <c r="J32" s="11">
        <v>-0.1475355054302423</v>
      </c>
      <c r="K32" s="126" t="e">
        <f>(SUMIFS(#REF!,#REF!,基础表!$C32,#REF!,基础表!$D32))*1000</f>
        <v>#REF!</v>
      </c>
      <c r="L32" s="126" t="e">
        <f>(SUMIFS(#REF!,#REF!,基础表!$C32,#REF!,基础表!$D32))*1000</f>
        <v>#REF!</v>
      </c>
      <c r="M32" s="11" t="e">
        <f t="shared" si="3"/>
        <v>#REF!</v>
      </c>
      <c r="N32" s="126" t="e">
        <f>(SUMIFS(#REF!,#REF!,基础表!$C32,#REF!,基础表!$D32))*1000</f>
        <v>#REF!</v>
      </c>
      <c r="O32" s="11" t="e">
        <f>SUMIFS(#REF!,#REF!,基础表!$C32,#REF!,基础表!$D32)</f>
        <v>#REF!</v>
      </c>
      <c r="P32" s="11" t="e">
        <f>SUMIFS(#REF!,#REF!,基础表!$C32,#REF!,基础表!$D32)</f>
        <v>#REF!</v>
      </c>
      <c r="Q32" s="11" t="e">
        <f>SUMIFS(#REF!,#REF!,基础表!$C32,#REF!,基础表!$D32)</f>
        <v>#REF!</v>
      </c>
      <c r="R32" s="11" t="e">
        <f>SUMIFS(#REF!,#REF!,基础表!$C32,#REF!,基础表!$D32)</f>
        <v>#REF!</v>
      </c>
      <c r="S32" s="11" t="e">
        <f>SUMIFS(#REF!,#REF!,基础表!$C32,#REF!,基础表!$D32)</f>
        <v>#REF!</v>
      </c>
      <c r="T32" s="11" t="e">
        <f>SUMIFS(#REF!,#REF!,基础表!$C32,#REF!,基础表!$D32)</f>
        <v>#REF!</v>
      </c>
      <c r="U32" s="11" t="e">
        <f>SUMIFS(#REF!,#REF!,基础表!$C32,#REF!,基础表!$D32)</f>
        <v>#REF!</v>
      </c>
    </row>
    <row r="33" spans="2:21" x14ac:dyDescent="0.2">
      <c r="B33" s="11"/>
      <c r="C33" s="13" t="s">
        <v>32</v>
      </c>
      <c r="D33" s="13" t="s">
        <v>33</v>
      </c>
      <c r="E33" s="10">
        <v>155</v>
      </c>
      <c r="F33" s="10">
        <v>100</v>
      </c>
      <c r="G33" s="10">
        <v>103</v>
      </c>
      <c r="H33" s="11">
        <v>-0.22500000000000001</v>
      </c>
      <c r="I33" s="11">
        <v>0.42857142857142855</v>
      </c>
      <c r="J33" s="11">
        <v>2.9999999999999805E-2</v>
      </c>
      <c r="K33" s="126" t="e">
        <f>(SUMIFS(#REF!,#REF!,基础表!$C33,#REF!,基础表!$D33))*1000</f>
        <v>#REF!</v>
      </c>
      <c r="L33" s="126" t="e">
        <f>(SUMIFS(#REF!,#REF!,基础表!$C33,#REF!,基础表!$D33))*1000</f>
        <v>#REF!</v>
      </c>
      <c r="M33" s="11" t="e">
        <f t="shared" si="3"/>
        <v>#REF!</v>
      </c>
      <c r="N33" s="126" t="e">
        <f>(SUMIFS(#REF!,#REF!,基础表!$C33,#REF!,基础表!$D33))*1000</f>
        <v>#REF!</v>
      </c>
      <c r="O33" s="11" t="e">
        <f>SUMIFS(#REF!,#REF!,基础表!$C33,#REF!,基础表!$D33)</f>
        <v>#REF!</v>
      </c>
      <c r="P33" s="11"/>
      <c r="Q33" s="11"/>
      <c r="R33" s="11"/>
      <c r="S33" s="11"/>
      <c r="T33" s="11"/>
      <c r="U33" s="11"/>
    </row>
    <row r="34" spans="2:21" x14ac:dyDescent="0.2">
      <c r="C34" s="13" t="s">
        <v>32</v>
      </c>
      <c r="D34" s="13" t="s">
        <v>3</v>
      </c>
      <c r="E34" s="10">
        <v>155</v>
      </c>
      <c r="F34" s="10">
        <v>100</v>
      </c>
      <c r="G34" s="10">
        <v>103</v>
      </c>
      <c r="H34" s="11">
        <v>-0.22500000000000001</v>
      </c>
      <c r="I34" s="11">
        <v>0.42857142857142855</v>
      </c>
      <c r="J34" s="11">
        <v>2.9999999999999805E-2</v>
      </c>
      <c r="K34" s="126" t="e">
        <f>(SUMIFS(#REF!,#REF!,基础表!$C34,#REF!,基础表!$D34))*1000</f>
        <v>#REF!</v>
      </c>
      <c r="L34" s="126" t="e">
        <f>(SUMIFS(#REF!,#REF!,基础表!$C34,#REF!,基础表!$D34))*1000</f>
        <v>#REF!</v>
      </c>
      <c r="M34" s="11" t="e">
        <f t="shared" si="3"/>
        <v>#REF!</v>
      </c>
      <c r="N34" s="126" t="e">
        <f>(SUMIFS(#REF!,#REF!,基础表!$C34,#REF!,基础表!$D34))*1000</f>
        <v>#REF!</v>
      </c>
      <c r="O34" s="11" t="e">
        <f>SUMIFS(#REF!,#REF!,基础表!$C34,#REF!,基础表!$D34)</f>
        <v>#REF!</v>
      </c>
      <c r="P34" s="11"/>
      <c r="Q34" s="11"/>
      <c r="R34" s="11"/>
      <c r="S34" s="11"/>
      <c r="T34" s="11"/>
      <c r="U34" s="11"/>
    </row>
  </sheetData>
  <mergeCells count="6">
    <mergeCell ref="P2:U2"/>
    <mergeCell ref="C4:D4"/>
    <mergeCell ref="A3:B3"/>
    <mergeCell ref="E2:G2"/>
    <mergeCell ref="H2:J2"/>
    <mergeCell ref="K2:O2"/>
  </mergeCells>
  <phoneticPr fontId="19" type="noConversion"/>
  <pageMargins left="0.7" right="0.7" top="0.75" bottom="0.75" header="0.3" footer="0.3"/>
  <customProperties>
    <customPr name="_pios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1"/>
  <sheetViews>
    <sheetView topLeftCell="E56" workbookViewId="0">
      <selection activeCell="X76" sqref="X76"/>
    </sheetView>
  </sheetViews>
  <sheetFormatPr defaultRowHeight="14.25" x14ac:dyDescent="0.2"/>
  <cols>
    <col min="2" max="3" width="15" bestFit="1" customWidth="1"/>
    <col min="4" max="4" width="11.125" bestFit="1" customWidth="1"/>
    <col min="5" max="5" width="19.875" bestFit="1" customWidth="1"/>
    <col min="6" max="24" width="6.5" customWidth="1"/>
    <col min="25" max="32" width="9" customWidth="1"/>
    <col min="34" max="34" width="9.25" bestFit="1" customWidth="1"/>
  </cols>
  <sheetData>
    <row r="1" spans="1:39" x14ac:dyDescent="0.2">
      <c r="B1" s="1" t="s">
        <v>55</v>
      </c>
      <c r="AG1">
        <v>1000</v>
      </c>
    </row>
    <row r="2" spans="1:39" ht="15" thickBot="1" x14ac:dyDescent="0.25">
      <c r="B2" s="8"/>
    </row>
    <row r="3" spans="1:39" ht="15" thickBot="1" x14ac:dyDescent="0.25">
      <c r="B3" s="198"/>
      <c r="C3" s="199"/>
      <c r="D3" s="200"/>
      <c r="E3" s="2" t="s">
        <v>0</v>
      </c>
      <c r="F3" s="204" t="s">
        <v>1</v>
      </c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6"/>
      <c r="V3" s="127"/>
      <c r="W3" s="127"/>
      <c r="X3" s="127"/>
    </row>
    <row r="4" spans="1:39" ht="15" thickBot="1" x14ac:dyDescent="0.25">
      <c r="B4" s="201"/>
      <c r="C4" s="202"/>
      <c r="D4" s="203"/>
      <c r="E4" s="2"/>
      <c r="F4" s="204" t="s">
        <v>53</v>
      </c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6"/>
      <c r="V4" s="127"/>
      <c r="W4" s="127"/>
      <c r="X4" s="127"/>
      <c r="AA4" s="186" t="s">
        <v>176</v>
      </c>
      <c r="AB4" s="187"/>
      <c r="AC4" s="188"/>
      <c r="AD4" s="186" t="s">
        <v>177</v>
      </c>
      <c r="AE4" s="187"/>
      <c r="AF4" s="188"/>
      <c r="AG4" s="186">
        <v>2504</v>
      </c>
      <c r="AH4" s="187"/>
      <c r="AI4" s="187"/>
      <c r="AJ4" s="187"/>
      <c r="AK4" s="188"/>
    </row>
    <row r="5" spans="1:39" ht="15" thickBot="1" x14ac:dyDescent="0.25">
      <c r="B5" s="3" t="s">
        <v>2</v>
      </c>
      <c r="C5" s="3" t="s">
        <v>36</v>
      </c>
      <c r="D5" s="3" t="s">
        <v>56</v>
      </c>
      <c r="E5" s="3" t="s">
        <v>57</v>
      </c>
      <c r="F5" s="18" t="s">
        <v>58</v>
      </c>
      <c r="G5" s="18" t="s">
        <v>59</v>
      </c>
      <c r="H5" s="18" t="s">
        <v>60</v>
      </c>
      <c r="I5" s="18" t="s">
        <v>61</v>
      </c>
      <c r="J5" s="18" t="s">
        <v>62</v>
      </c>
      <c r="K5" s="18" t="s">
        <v>63</v>
      </c>
      <c r="L5" s="18" t="s">
        <v>64</v>
      </c>
      <c r="M5" s="18" t="s">
        <v>65</v>
      </c>
      <c r="N5" s="18" t="s">
        <v>66</v>
      </c>
      <c r="O5" s="18" t="s">
        <v>67</v>
      </c>
      <c r="P5" s="18" t="s">
        <v>68</v>
      </c>
      <c r="Q5" s="18" t="s">
        <v>69</v>
      </c>
      <c r="R5" s="18" t="s">
        <v>70</v>
      </c>
      <c r="S5" s="18" t="s">
        <v>71</v>
      </c>
      <c r="T5" s="18" t="s">
        <v>72</v>
      </c>
      <c r="U5" s="18" t="s">
        <v>52</v>
      </c>
      <c r="V5" s="19" t="s">
        <v>193</v>
      </c>
      <c r="W5" s="19" t="s">
        <v>204</v>
      </c>
      <c r="X5" s="19" t="s">
        <v>217</v>
      </c>
      <c r="Y5" s="19" t="s">
        <v>174</v>
      </c>
      <c r="Z5" s="72" t="s">
        <v>182</v>
      </c>
      <c r="AA5" s="20">
        <v>2501</v>
      </c>
      <c r="AB5" s="21">
        <v>2502</v>
      </c>
      <c r="AC5" s="22">
        <v>2503</v>
      </c>
      <c r="AD5" s="20">
        <f>AA5</f>
        <v>2501</v>
      </c>
      <c r="AE5" s="21">
        <f t="shared" ref="AE5:AF5" si="0">AB5</f>
        <v>2502</v>
      </c>
      <c r="AF5" s="22">
        <f t="shared" si="0"/>
        <v>2503</v>
      </c>
      <c r="AG5" s="20" t="s">
        <v>176</v>
      </c>
      <c r="AH5" s="21" t="s">
        <v>179</v>
      </c>
      <c r="AI5" s="21" t="s">
        <v>177</v>
      </c>
      <c r="AJ5" s="21" t="s">
        <v>180</v>
      </c>
      <c r="AK5" s="22" t="s">
        <v>181</v>
      </c>
    </row>
    <row r="6" spans="1:39" ht="15" thickBot="1" x14ac:dyDescent="0.25">
      <c r="A6">
        <f>RANK(AI6,$AI$6:$AI$24)</f>
        <v>18</v>
      </c>
      <c r="B6" s="3" t="s">
        <v>4</v>
      </c>
      <c r="C6" s="3" t="s">
        <v>5</v>
      </c>
      <c r="D6" s="3" t="s">
        <v>73</v>
      </c>
      <c r="E6" s="3" t="s">
        <v>74</v>
      </c>
      <c r="F6" s="4">
        <v>0.43</v>
      </c>
      <c r="G6" s="4">
        <v>0.29899999999999999</v>
      </c>
      <c r="H6" s="4">
        <v>0.17499999999999999</v>
      </c>
      <c r="I6" s="4">
        <v>0.61599999999999999</v>
      </c>
      <c r="J6" s="4">
        <v>1.024</v>
      </c>
      <c r="K6" s="4">
        <v>0.47499999999999998</v>
      </c>
      <c r="L6" s="4">
        <v>0.88</v>
      </c>
      <c r="M6" s="4">
        <v>0.65400000000000003</v>
      </c>
      <c r="N6" s="4">
        <v>0.36</v>
      </c>
      <c r="O6" s="4">
        <v>0.56999999999999995</v>
      </c>
      <c r="P6" s="4">
        <v>0.56399999999999995</v>
      </c>
      <c r="Q6" s="4">
        <v>0.45300000000000001</v>
      </c>
      <c r="R6" s="4">
        <v>0.83599999999999997</v>
      </c>
      <c r="S6" s="4">
        <v>0.59399999999999997</v>
      </c>
      <c r="T6" s="4">
        <v>0.18</v>
      </c>
      <c r="U6" s="4">
        <v>0.15</v>
      </c>
      <c r="V6" s="128">
        <v>0.53100000000000003</v>
      </c>
      <c r="W6" s="128">
        <v>0.68300000000000005</v>
      </c>
      <c r="X6" s="128">
        <f>VLOOKUP(E6,Sheet5!$O:$Q,2,0)</f>
        <v>0.32500000000000001</v>
      </c>
      <c r="Y6">
        <f>VLOOKUP(E6,Sheet5!O:P,2,0)</f>
        <v>0.32500000000000001</v>
      </c>
      <c r="Z6" s="73" t="str">
        <f t="shared" ref="Z6:Z36" si="1">E6</f>
        <v>宾县龙兴</v>
      </c>
      <c r="AA6" s="71">
        <f>(U6)*1000</f>
        <v>150</v>
      </c>
      <c r="AB6" s="71">
        <f t="shared" ref="AB6:AC6" si="2">(V6)*1000</f>
        <v>531</v>
      </c>
      <c r="AC6" s="71">
        <f t="shared" si="2"/>
        <v>683</v>
      </c>
      <c r="AD6">
        <f>IFERROR(U6/I6-1,"")</f>
        <v>-0.75649350649350655</v>
      </c>
      <c r="AE6">
        <f t="shared" ref="AE6:AF6" si="3">IFERROR(V6/J6-1,"")</f>
        <v>-0.4814453125</v>
      </c>
      <c r="AF6">
        <f t="shared" si="3"/>
        <v>0.43789473684210534</v>
      </c>
      <c r="AG6" s="71">
        <f>(X6)*1000</f>
        <v>325</v>
      </c>
      <c r="AH6" s="71">
        <f>(L6)*1000</f>
        <v>880</v>
      </c>
      <c r="AI6">
        <f>IFERROR(AG6/AH6-1,"")</f>
        <v>-0.63068181818181812</v>
      </c>
      <c r="AJ6">
        <f>(Y6)*1000</f>
        <v>325</v>
      </c>
      <c r="AK6">
        <f>IFERROR(AG6/AJ6,"")</f>
        <v>1</v>
      </c>
      <c r="AL6" s="73" t="str">
        <f>E6</f>
        <v>宾县龙兴</v>
      </c>
      <c r="AM6" s="73" t="str">
        <f>C6</f>
        <v>宾县外埠所</v>
      </c>
    </row>
    <row r="7" spans="1:39" ht="15" thickBot="1" x14ac:dyDescent="0.25">
      <c r="A7">
        <f t="shared" ref="A7:A24" si="4">RANK(AI7,$AI$6:$AI$24)</f>
        <v>7</v>
      </c>
      <c r="B7" s="3" t="s">
        <v>4</v>
      </c>
      <c r="C7" s="3" t="s">
        <v>5</v>
      </c>
      <c r="D7" s="3" t="s">
        <v>75</v>
      </c>
      <c r="E7" s="3" t="s">
        <v>76</v>
      </c>
      <c r="F7" s="5">
        <v>0.41699999999999998</v>
      </c>
      <c r="G7" s="5">
        <v>0.25</v>
      </c>
      <c r="H7" s="5">
        <v>0.248</v>
      </c>
      <c r="I7" s="5">
        <v>0.10299999999999999</v>
      </c>
      <c r="J7" s="5">
        <v>0.35399999999999998</v>
      </c>
      <c r="K7" s="5">
        <v>0.215</v>
      </c>
      <c r="L7" s="5">
        <v>0.26200000000000001</v>
      </c>
      <c r="M7" s="5">
        <v>0.35799999999999998</v>
      </c>
      <c r="N7" s="5">
        <v>0.22500000000000001</v>
      </c>
      <c r="O7" s="5">
        <v>0.1</v>
      </c>
      <c r="P7" s="5">
        <v>0.35</v>
      </c>
      <c r="Q7" s="5">
        <v>0.36899999999999999</v>
      </c>
      <c r="R7" s="5">
        <v>0.32200000000000001</v>
      </c>
      <c r="S7" s="5">
        <v>0.11</v>
      </c>
      <c r="T7" s="5">
        <v>0.1</v>
      </c>
      <c r="U7" s="5">
        <v>0.1</v>
      </c>
      <c r="V7" s="129">
        <v>0.374</v>
      </c>
      <c r="W7" s="129">
        <v>0.18</v>
      </c>
      <c r="X7" s="129">
        <f>VLOOKUP(E7,Sheet5!$O:$Q,2,0)</f>
        <v>0.19750000000000001</v>
      </c>
      <c r="Y7">
        <f>VLOOKUP(E7,Sheet5!O:P,2,0)</f>
        <v>0.19750000000000001</v>
      </c>
      <c r="Z7" s="73" t="str">
        <f t="shared" si="1"/>
        <v>巴彦隆鹏</v>
      </c>
      <c r="AA7" s="71">
        <f t="shared" ref="AA7:AA70" si="5">(U7)*1000</f>
        <v>100</v>
      </c>
      <c r="AB7" s="71">
        <f t="shared" ref="AB7:AB70" si="6">(V7)*1000</f>
        <v>374</v>
      </c>
      <c r="AC7" s="71">
        <f t="shared" ref="AC7:AC70" si="7">(W7)*1000</f>
        <v>180</v>
      </c>
      <c r="AD7">
        <f t="shared" ref="AD7:AD70" si="8">IFERROR(U7/I7-1,"")</f>
        <v>-2.9126213592232886E-2</v>
      </c>
      <c r="AE7">
        <f t="shared" ref="AE7:AE70" si="9">IFERROR(V7/J7-1,"")</f>
        <v>5.6497175141243083E-2</v>
      </c>
      <c r="AF7">
        <f t="shared" ref="AF7:AF70" si="10">IFERROR(W7/K7-1,"")</f>
        <v>-0.16279069767441867</v>
      </c>
      <c r="AG7" s="71">
        <f t="shared" ref="AG7:AG70" si="11">(X7)*1000</f>
        <v>197.5</v>
      </c>
      <c r="AH7" s="71">
        <f t="shared" ref="AH7:AH70" si="12">(L7)*1000</f>
        <v>262</v>
      </c>
      <c r="AI7">
        <f t="shared" ref="AI7:AI70" si="13">IFERROR(AG7/AH7-1,"")</f>
        <v>-0.24618320610687028</v>
      </c>
      <c r="AJ7">
        <f t="shared" ref="AJ7:AJ70" si="14">(Y7)*1000</f>
        <v>197.5</v>
      </c>
      <c r="AK7">
        <f t="shared" ref="AK7:AK70" si="15">IFERROR(AG7/AJ7,"")</f>
        <v>1</v>
      </c>
      <c r="AL7" s="73" t="str">
        <f t="shared" ref="AL7:AL69" si="16">E7</f>
        <v>巴彦隆鹏</v>
      </c>
      <c r="AM7" s="73" t="str">
        <f t="shared" ref="AM7:AM69" si="17">C7</f>
        <v>宾县外埠所</v>
      </c>
    </row>
    <row r="8" spans="1:39" ht="15" thickBot="1" x14ac:dyDescent="0.25">
      <c r="A8">
        <f t="shared" si="4"/>
        <v>19</v>
      </c>
      <c r="B8" s="3" t="s">
        <v>4</v>
      </c>
      <c r="C8" s="3" t="s">
        <v>5</v>
      </c>
      <c r="D8" s="3" t="s">
        <v>75</v>
      </c>
      <c r="E8" s="3" t="s">
        <v>77</v>
      </c>
      <c r="F8" s="4">
        <v>0.13</v>
      </c>
      <c r="G8" s="4">
        <v>0.21</v>
      </c>
      <c r="H8" s="4">
        <v>0.12</v>
      </c>
      <c r="I8" s="4">
        <v>0.10299999999999999</v>
      </c>
      <c r="J8" s="4">
        <v>0.224</v>
      </c>
      <c r="K8" s="4">
        <v>0.24</v>
      </c>
      <c r="L8" s="4">
        <v>0.38</v>
      </c>
      <c r="M8" s="4">
        <v>0.115</v>
      </c>
      <c r="N8" s="4">
        <v>0.153</v>
      </c>
      <c r="O8" s="4">
        <v>0.25600000000000001</v>
      </c>
      <c r="P8" s="4">
        <v>0.2</v>
      </c>
      <c r="Q8" s="4">
        <v>0.105</v>
      </c>
      <c r="R8" s="4">
        <v>8.4000000000000005E-2</v>
      </c>
      <c r="S8" s="4">
        <v>0.218</v>
      </c>
      <c r="T8" s="4">
        <v>0.08</v>
      </c>
      <c r="U8" s="4">
        <v>0.08</v>
      </c>
      <c r="V8" s="128">
        <v>0.187</v>
      </c>
      <c r="W8" s="128">
        <v>0.08</v>
      </c>
      <c r="X8" s="128">
        <f>VLOOKUP(E8,Sheet5!$O:$Q,2,0)</f>
        <v>0.1</v>
      </c>
      <c r="Y8">
        <f>VLOOKUP(E8,Sheet5!O:P,2,0)</f>
        <v>0.1</v>
      </c>
      <c r="Z8" s="73" t="str">
        <f t="shared" si="1"/>
        <v>木兰新小合</v>
      </c>
      <c r="AA8" s="71">
        <f t="shared" si="5"/>
        <v>80</v>
      </c>
      <c r="AB8" s="71">
        <f t="shared" si="6"/>
        <v>187</v>
      </c>
      <c r="AC8" s="71">
        <f t="shared" si="7"/>
        <v>80</v>
      </c>
      <c r="AD8">
        <f t="shared" si="8"/>
        <v>-0.22330097087378631</v>
      </c>
      <c r="AE8">
        <f t="shared" si="9"/>
        <v>-0.1651785714285714</v>
      </c>
      <c r="AF8">
        <f t="shared" si="10"/>
        <v>-0.66666666666666663</v>
      </c>
      <c r="AG8" s="71">
        <f t="shared" si="11"/>
        <v>100</v>
      </c>
      <c r="AH8" s="71">
        <f t="shared" si="12"/>
        <v>380</v>
      </c>
      <c r="AI8">
        <f t="shared" si="13"/>
        <v>-0.73684210526315796</v>
      </c>
      <c r="AJ8">
        <f t="shared" si="14"/>
        <v>100</v>
      </c>
      <c r="AK8">
        <f t="shared" si="15"/>
        <v>1</v>
      </c>
      <c r="AL8" s="73" t="str">
        <f t="shared" si="16"/>
        <v>木兰新小合</v>
      </c>
      <c r="AM8" s="73" t="str">
        <f t="shared" si="17"/>
        <v>宾县外埠所</v>
      </c>
    </row>
    <row r="9" spans="1:39" ht="15" thickBot="1" x14ac:dyDescent="0.25">
      <c r="A9">
        <f t="shared" si="4"/>
        <v>5</v>
      </c>
      <c r="B9" s="3" t="s">
        <v>4</v>
      </c>
      <c r="C9" s="3" t="s">
        <v>5</v>
      </c>
      <c r="D9" s="3" t="s">
        <v>75</v>
      </c>
      <c r="E9" s="3" t="s">
        <v>78</v>
      </c>
      <c r="F9" s="5">
        <v>0.21299999999999999</v>
      </c>
      <c r="G9" s="5">
        <v>0.24199999999999999</v>
      </c>
      <c r="H9" s="5">
        <v>0.14099999999999999</v>
      </c>
      <c r="I9" s="5">
        <v>0.19</v>
      </c>
      <c r="J9" s="5">
        <v>0.27400000000000002</v>
      </c>
      <c r="K9" s="5">
        <v>0.14299999999999999</v>
      </c>
      <c r="L9" s="5">
        <v>0.31</v>
      </c>
      <c r="M9" s="5">
        <v>0.23400000000000001</v>
      </c>
      <c r="N9" s="5">
        <v>0.14099999999999999</v>
      </c>
      <c r="O9" s="5">
        <v>0.25800000000000001</v>
      </c>
      <c r="P9" s="5">
        <v>0.214</v>
      </c>
      <c r="Q9" s="5">
        <v>0.27100000000000002</v>
      </c>
      <c r="R9" s="5">
        <v>0.20799999999999999</v>
      </c>
      <c r="S9" s="5">
        <v>0.218</v>
      </c>
      <c r="T9" s="5">
        <v>0.1</v>
      </c>
      <c r="U9" s="5">
        <v>0.128</v>
      </c>
      <c r="V9" s="129">
        <v>0.30199999999999999</v>
      </c>
      <c r="W9" s="129">
        <v>0.1</v>
      </c>
      <c r="X9" s="129">
        <f>VLOOKUP(E9,Sheet5!$O:$Q,2,0)</f>
        <v>0.25</v>
      </c>
      <c r="Y9">
        <f>VLOOKUP(E9,Sheet5!O:P,2,0)</f>
        <v>0.25</v>
      </c>
      <c r="Z9" s="73" t="str">
        <f t="shared" si="1"/>
        <v>通河佰昌</v>
      </c>
      <c r="AA9" s="71">
        <f t="shared" si="5"/>
        <v>128</v>
      </c>
      <c r="AB9" s="71">
        <f t="shared" si="6"/>
        <v>302</v>
      </c>
      <c r="AC9" s="71">
        <f t="shared" si="7"/>
        <v>100</v>
      </c>
      <c r="AD9">
        <f t="shared" si="8"/>
        <v>-0.32631578947368423</v>
      </c>
      <c r="AE9">
        <f t="shared" si="9"/>
        <v>0.10218978102189769</v>
      </c>
      <c r="AF9">
        <f t="shared" si="10"/>
        <v>-0.30069930069930062</v>
      </c>
      <c r="AG9" s="71">
        <f t="shared" si="11"/>
        <v>250</v>
      </c>
      <c r="AH9" s="71">
        <f t="shared" si="12"/>
        <v>310</v>
      </c>
      <c r="AI9">
        <f t="shared" si="13"/>
        <v>-0.19354838709677424</v>
      </c>
      <c r="AJ9">
        <f t="shared" si="14"/>
        <v>250</v>
      </c>
      <c r="AK9">
        <f t="shared" si="15"/>
        <v>1</v>
      </c>
      <c r="AL9" s="73" t="str">
        <f t="shared" si="16"/>
        <v>通河佰昌</v>
      </c>
      <c r="AM9" s="73" t="str">
        <f t="shared" si="17"/>
        <v>宾县外埠所</v>
      </c>
    </row>
    <row r="10" spans="1:39" ht="15" thickBot="1" x14ac:dyDescent="0.25">
      <c r="A10">
        <f t="shared" si="4"/>
        <v>12</v>
      </c>
      <c r="B10" s="3" t="s">
        <v>4</v>
      </c>
      <c r="C10" s="3" t="s">
        <v>5</v>
      </c>
      <c r="D10" s="3" t="s">
        <v>75</v>
      </c>
      <c r="E10" s="3" t="s">
        <v>79</v>
      </c>
      <c r="F10" s="4">
        <v>0.255</v>
      </c>
      <c r="G10" s="4">
        <v>0.27200000000000002</v>
      </c>
      <c r="H10" s="4">
        <v>0.16</v>
      </c>
      <c r="I10" s="4">
        <v>0.17</v>
      </c>
      <c r="J10" s="4">
        <v>0.26400000000000001</v>
      </c>
      <c r="K10" s="4">
        <v>0.23300000000000001</v>
      </c>
      <c r="L10" s="4">
        <v>0.29699999999999999</v>
      </c>
      <c r="M10" s="4">
        <v>0.22500000000000001</v>
      </c>
      <c r="N10" s="4">
        <v>0.14399999999999999</v>
      </c>
      <c r="O10" s="4">
        <v>0.19</v>
      </c>
      <c r="P10" s="4">
        <v>0.20300000000000001</v>
      </c>
      <c r="Q10" s="4">
        <v>0.14399999999999999</v>
      </c>
      <c r="R10" s="4">
        <v>0.13600000000000001</v>
      </c>
      <c r="S10" s="4">
        <v>0.115</v>
      </c>
      <c r="T10" s="4">
        <v>0.105</v>
      </c>
      <c r="U10" s="4">
        <v>0.1</v>
      </c>
      <c r="V10" s="128">
        <v>0.16700000000000001</v>
      </c>
      <c r="W10" s="128">
        <v>0.16900000000000001</v>
      </c>
      <c r="X10" s="128">
        <f>VLOOKUP(E10,Sheet5!$O:$Q,2,0)</f>
        <v>0.17874999999999999</v>
      </c>
      <c r="Y10">
        <f>VLOOKUP(E10,Sheet5!O:P,2,0)</f>
        <v>0.17874999999999999</v>
      </c>
      <c r="Z10" s="73" t="str">
        <f t="shared" si="1"/>
        <v>方正晓雨</v>
      </c>
      <c r="AA10" s="71">
        <f t="shared" si="5"/>
        <v>100</v>
      </c>
      <c r="AB10" s="71">
        <f t="shared" si="6"/>
        <v>167</v>
      </c>
      <c r="AC10" s="71">
        <f t="shared" si="7"/>
        <v>169</v>
      </c>
      <c r="AD10">
        <f t="shared" si="8"/>
        <v>-0.41176470588235292</v>
      </c>
      <c r="AE10">
        <f t="shared" si="9"/>
        <v>-0.36742424242424243</v>
      </c>
      <c r="AF10">
        <f t="shared" si="10"/>
        <v>-0.27467811158798283</v>
      </c>
      <c r="AG10" s="71">
        <f t="shared" si="11"/>
        <v>178.75</v>
      </c>
      <c r="AH10" s="71">
        <f t="shared" si="12"/>
        <v>297</v>
      </c>
      <c r="AI10">
        <f t="shared" si="13"/>
        <v>-0.39814814814814814</v>
      </c>
      <c r="AJ10">
        <f t="shared" si="14"/>
        <v>178.75</v>
      </c>
      <c r="AK10">
        <f t="shared" si="15"/>
        <v>1</v>
      </c>
      <c r="AL10" s="73" t="str">
        <f t="shared" si="16"/>
        <v>方正晓雨</v>
      </c>
      <c r="AM10" s="73" t="str">
        <f t="shared" si="17"/>
        <v>宾县外埠所</v>
      </c>
    </row>
    <row r="11" spans="1:39" ht="15" thickBot="1" x14ac:dyDescent="0.25">
      <c r="A11">
        <f t="shared" si="4"/>
        <v>13</v>
      </c>
      <c r="B11" s="3" t="s">
        <v>4</v>
      </c>
      <c r="C11" s="3" t="s">
        <v>5</v>
      </c>
      <c r="D11" s="3" t="s">
        <v>75</v>
      </c>
      <c r="E11" s="3" t="s">
        <v>80</v>
      </c>
      <c r="F11" s="5">
        <v>0.251</v>
      </c>
      <c r="G11" s="5">
        <v>0.12</v>
      </c>
      <c r="H11" s="5">
        <v>0.25900000000000001</v>
      </c>
      <c r="I11" s="5">
        <v>0.25</v>
      </c>
      <c r="J11" s="5">
        <v>0.22</v>
      </c>
      <c r="K11" s="5">
        <v>0.315</v>
      </c>
      <c r="L11" s="5">
        <v>0.42799999999999999</v>
      </c>
      <c r="M11" s="5">
        <v>0.33600000000000002</v>
      </c>
      <c r="N11" s="5">
        <v>0.27600000000000002</v>
      </c>
      <c r="O11" s="5">
        <v>0.318</v>
      </c>
      <c r="P11" s="5">
        <v>0.40500000000000003</v>
      </c>
      <c r="Q11" s="5">
        <v>0.30399999999999999</v>
      </c>
      <c r="R11" s="5">
        <v>0.36099999999999999</v>
      </c>
      <c r="S11" s="5">
        <v>0.23499999999999999</v>
      </c>
      <c r="T11" s="5">
        <v>0.12</v>
      </c>
      <c r="U11" s="5">
        <v>0.1</v>
      </c>
      <c r="V11" s="129">
        <v>0.374</v>
      </c>
      <c r="W11" s="129">
        <v>0.115</v>
      </c>
      <c r="X11" s="129">
        <f>VLOOKUP(E11,Sheet5!$O:$Q,2,0)</f>
        <v>0.215</v>
      </c>
      <c r="Y11">
        <f>VLOOKUP(E11,Sheet5!O:P,2,0)</f>
        <v>0.215</v>
      </c>
      <c r="Z11" s="73" t="str">
        <f t="shared" si="1"/>
        <v>尚志诺恒</v>
      </c>
      <c r="AA11" s="71">
        <f t="shared" si="5"/>
        <v>100</v>
      </c>
      <c r="AB11" s="71">
        <f t="shared" si="6"/>
        <v>374</v>
      </c>
      <c r="AC11" s="71">
        <f t="shared" si="7"/>
        <v>115</v>
      </c>
      <c r="AD11">
        <f t="shared" si="8"/>
        <v>-0.6</v>
      </c>
      <c r="AE11">
        <f t="shared" si="9"/>
        <v>0.7</v>
      </c>
      <c r="AF11">
        <f t="shared" si="10"/>
        <v>-0.63492063492063489</v>
      </c>
      <c r="AG11" s="71">
        <f t="shared" si="11"/>
        <v>215</v>
      </c>
      <c r="AH11" s="71">
        <f t="shared" si="12"/>
        <v>428</v>
      </c>
      <c r="AI11">
        <f t="shared" si="13"/>
        <v>-0.49766355140186913</v>
      </c>
      <c r="AJ11">
        <f t="shared" si="14"/>
        <v>215</v>
      </c>
      <c r="AK11">
        <f t="shared" si="15"/>
        <v>1</v>
      </c>
      <c r="AL11" s="73" t="str">
        <f t="shared" si="16"/>
        <v>尚志诺恒</v>
      </c>
      <c r="AM11" s="73" t="str">
        <f t="shared" si="17"/>
        <v>宾县外埠所</v>
      </c>
    </row>
    <row r="12" spans="1:39" ht="15" thickBot="1" x14ac:dyDescent="0.25">
      <c r="A12">
        <f t="shared" si="4"/>
        <v>14</v>
      </c>
      <c r="B12" s="3" t="s">
        <v>4</v>
      </c>
      <c r="C12" s="3" t="s">
        <v>5</v>
      </c>
      <c r="D12" s="3" t="s">
        <v>75</v>
      </c>
      <c r="E12" s="3" t="s">
        <v>81</v>
      </c>
      <c r="F12" s="4"/>
      <c r="G12" s="4">
        <v>0.24</v>
      </c>
      <c r="H12" s="4">
        <v>0.14000000000000001</v>
      </c>
      <c r="I12" s="4">
        <v>0.18</v>
      </c>
      <c r="J12" s="4">
        <v>0.18</v>
      </c>
      <c r="K12" s="4">
        <v>0.17399999999999999</v>
      </c>
      <c r="L12" s="4">
        <v>0.30499999999999999</v>
      </c>
      <c r="M12" s="4">
        <v>0.17</v>
      </c>
      <c r="N12" s="4">
        <v>8.6999999999999994E-2</v>
      </c>
      <c r="O12" s="4">
        <v>0.1</v>
      </c>
      <c r="P12" s="4">
        <v>0.2</v>
      </c>
      <c r="Q12" s="4">
        <v>0.1</v>
      </c>
      <c r="R12" s="4">
        <v>8.4000000000000005E-2</v>
      </c>
      <c r="S12" s="4">
        <v>0.155</v>
      </c>
      <c r="T12" s="4">
        <v>0.08</v>
      </c>
      <c r="U12" s="4">
        <v>0.105</v>
      </c>
      <c r="V12" s="128">
        <v>0.187</v>
      </c>
      <c r="W12" s="128">
        <v>0.13</v>
      </c>
      <c r="X12" s="128">
        <f>VLOOKUP(E12,Sheet5!$O:$Q,2,0)</f>
        <v>0.14874999999999999</v>
      </c>
      <c r="Y12">
        <f>VLOOKUP(E12,Sheet5!O:P,2,0)</f>
        <v>0.14874999999999999</v>
      </c>
      <c r="Z12" s="73" t="str">
        <f t="shared" si="1"/>
        <v>亚布力鑫卓</v>
      </c>
      <c r="AA12" s="71">
        <f t="shared" si="5"/>
        <v>105</v>
      </c>
      <c r="AB12" s="71">
        <f t="shared" si="6"/>
        <v>187</v>
      </c>
      <c r="AC12" s="71">
        <f t="shared" si="7"/>
        <v>130</v>
      </c>
      <c r="AD12">
        <f t="shared" si="8"/>
        <v>-0.41666666666666663</v>
      </c>
      <c r="AE12">
        <f t="shared" si="9"/>
        <v>3.8888888888888973E-2</v>
      </c>
      <c r="AF12">
        <f t="shared" si="10"/>
        <v>-0.25287356321839072</v>
      </c>
      <c r="AG12" s="71">
        <f t="shared" si="11"/>
        <v>148.75</v>
      </c>
      <c r="AH12" s="71">
        <f t="shared" si="12"/>
        <v>305</v>
      </c>
      <c r="AI12">
        <f t="shared" si="13"/>
        <v>-0.51229508196721318</v>
      </c>
      <c r="AJ12">
        <f t="shared" si="14"/>
        <v>148.75</v>
      </c>
      <c r="AK12">
        <f t="shared" si="15"/>
        <v>1</v>
      </c>
      <c r="AL12" s="73" t="str">
        <f t="shared" si="16"/>
        <v>亚布力鑫卓</v>
      </c>
      <c r="AM12" s="73" t="str">
        <f t="shared" si="17"/>
        <v>宾县外埠所</v>
      </c>
    </row>
    <row r="13" spans="1:39" ht="15" thickBot="1" x14ac:dyDescent="0.25">
      <c r="A13">
        <f t="shared" si="4"/>
        <v>1</v>
      </c>
      <c r="B13" s="3" t="s">
        <v>4</v>
      </c>
      <c r="C13" s="3" t="s">
        <v>5</v>
      </c>
      <c r="D13" s="3" t="s">
        <v>75</v>
      </c>
      <c r="E13" s="3" t="s">
        <v>82</v>
      </c>
      <c r="F13" s="6">
        <v>0.28999999999999998</v>
      </c>
      <c r="G13" s="6">
        <v>0.20499999999999999</v>
      </c>
      <c r="H13" s="6">
        <v>0.17199999999999999</v>
      </c>
      <c r="I13" s="6">
        <v>0.108</v>
      </c>
      <c r="J13" s="6">
        <v>0.27600000000000002</v>
      </c>
      <c r="K13" s="6">
        <v>0.115</v>
      </c>
      <c r="L13" s="6">
        <v>5.5E-2</v>
      </c>
      <c r="M13" s="6">
        <v>0.16</v>
      </c>
      <c r="N13" s="5">
        <v>0.14499999999999999</v>
      </c>
      <c r="O13" s="5">
        <v>0.185</v>
      </c>
      <c r="P13" s="5">
        <v>0.20699999999999999</v>
      </c>
      <c r="Q13" s="5">
        <v>0.105</v>
      </c>
      <c r="R13" s="5">
        <v>0.19</v>
      </c>
      <c r="S13" s="5">
        <v>0.129</v>
      </c>
      <c r="T13" s="5">
        <v>0.1</v>
      </c>
      <c r="U13" s="5">
        <v>0.1</v>
      </c>
      <c r="V13" s="129">
        <v>0.187</v>
      </c>
      <c r="W13" s="129">
        <v>0.13300000000000001</v>
      </c>
      <c r="X13" s="129">
        <f>VLOOKUP(E13,Sheet5!$O:$Q,2,0)</f>
        <v>0.25</v>
      </c>
      <c r="Y13">
        <f>VLOOKUP(E13,Sheet5!O:P,2,0)</f>
        <v>0.25</v>
      </c>
      <c r="Z13" s="73" t="str">
        <f t="shared" si="1"/>
        <v>延寿森茂</v>
      </c>
      <c r="AA13" s="71">
        <f t="shared" si="5"/>
        <v>100</v>
      </c>
      <c r="AB13" s="71">
        <f t="shared" si="6"/>
        <v>187</v>
      </c>
      <c r="AC13" s="71">
        <f t="shared" si="7"/>
        <v>133</v>
      </c>
      <c r="AD13">
        <f t="shared" si="8"/>
        <v>-7.4074074074073959E-2</v>
      </c>
      <c r="AE13">
        <f t="shared" si="9"/>
        <v>-0.32246376811594213</v>
      </c>
      <c r="AF13">
        <f t="shared" si="10"/>
        <v>0.15652173913043477</v>
      </c>
      <c r="AG13" s="71">
        <f t="shared" si="11"/>
        <v>250</v>
      </c>
      <c r="AH13" s="71">
        <f t="shared" si="12"/>
        <v>55</v>
      </c>
      <c r="AI13">
        <f t="shared" si="13"/>
        <v>3.5454545454545459</v>
      </c>
      <c r="AJ13">
        <f t="shared" si="14"/>
        <v>250</v>
      </c>
      <c r="AK13">
        <f t="shared" si="15"/>
        <v>1</v>
      </c>
      <c r="AL13" s="73" t="str">
        <f t="shared" si="16"/>
        <v>延寿森茂</v>
      </c>
      <c r="AM13" s="73" t="str">
        <f t="shared" si="17"/>
        <v>宾县外埠所</v>
      </c>
    </row>
    <row r="14" spans="1:39" ht="15" thickBot="1" x14ac:dyDescent="0.25">
      <c r="A14">
        <f t="shared" si="4"/>
        <v>16</v>
      </c>
      <c r="B14" s="3" t="s">
        <v>4</v>
      </c>
      <c r="C14" s="3" t="s">
        <v>6</v>
      </c>
      <c r="D14" s="3" t="s">
        <v>83</v>
      </c>
      <c r="E14" s="3" t="s">
        <v>186</v>
      </c>
      <c r="F14" s="4">
        <v>0.57999999999999996</v>
      </c>
      <c r="G14" s="4">
        <v>0.312</v>
      </c>
      <c r="H14" s="4">
        <v>0.60699999999999998</v>
      </c>
      <c r="I14" s="4">
        <v>0.34</v>
      </c>
      <c r="J14" s="4">
        <v>0.34</v>
      </c>
      <c r="K14" s="4">
        <v>0.308</v>
      </c>
      <c r="L14" s="4">
        <v>0.71599999999999997</v>
      </c>
      <c r="M14" s="4">
        <v>0.311</v>
      </c>
      <c r="N14" s="4">
        <v>0.17199999999999999</v>
      </c>
      <c r="O14" s="4">
        <v>0.1</v>
      </c>
      <c r="P14" s="4">
        <v>0.6</v>
      </c>
      <c r="Q14" s="4">
        <v>0.27</v>
      </c>
      <c r="R14" s="4">
        <v>0.314</v>
      </c>
      <c r="S14" s="4">
        <v>0.3</v>
      </c>
      <c r="T14" s="4">
        <v>0.12</v>
      </c>
      <c r="U14" s="4">
        <v>0.06</v>
      </c>
      <c r="V14" s="128">
        <v>0.41</v>
      </c>
      <c r="W14" s="128">
        <v>0.255</v>
      </c>
      <c r="X14" s="128">
        <f>VLOOKUP(E14,Sheet5!$O:$Q,2,0)</f>
        <v>0.3125</v>
      </c>
      <c r="Y14">
        <f>VLOOKUP(E14,Sheet5!O:P,2,0)</f>
        <v>0.3125</v>
      </c>
      <c r="Z14" s="73" t="str">
        <f t="shared" si="1"/>
        <v>呼兰鲁岳</v>
      </c>
      <c r="AA14" s="71">
        <f t="shared" si="5"/>
        <v>60</v>
      </c>
      <c r="AB14" s="71">
        <f t="shared" si="6"/>
        <v>410</v>
      </c>
      <c r="AC14" s="71">
        <f t="shared" si="7"/>
        <v>255</v>
      </c>
      <c r="AD14">
        <f t="shared" si="8"/>
        <v>-0.82352941176470584</v>
      </c>
      <c r="AE14">
        <f t="shared" si="9"/>
        <v>0.20588235294117641</v>
      </c>
      <c r="AF14">
        <f t="shared" si="10"/>
        <v>-0.17207792207792205</v>
      </c>
      <c r="AG14" s="71">
        <f t="shared" si="11"/>
        <v>312.5</v>
      </c>
      <c r="AH14" s="71">
        <f t="shared" si="12"/>
        <v>716</v>
      </c>
      <c r="AI14">
        <f t="shared" si="13"/>
        <v>-0.56354748603351956</v>
      </c>
      <c r="AJ14">
        <f t="shared" si="14"/>
        <v>312.5</v>
      </c>
      <c r="AK14">
        <f t="shared" si="15"/>
        <v>1</v>
      </c>
      <c r="AL14" s="73" t="str">
        <f t="shared" si="16"/>
        <v>呼兰鲁岳</v>
      </c>
      <c r="AM14" s="73" t="str">
        <f t="shared" si="17"/>
        <v>哈尔滨城区北所</v>
      </c>
    </row>
    <row r="15" spans="1:39" ht="15" thickBot="1" x14ac:dyDescent="0.25">
      <c r="A15">
        <f t="shared" si="4"/>
        <v>2</v>
      </c>
      <c r="B15" s="3" t="s">
        <v>4</v>
      </c>
      <c r="C15" s="3" t="s">
        <v>6</v>
      </c>
      <c r="D15" s="3" t="s">
        <v>84</v>
      </c>
      <c r="E15" s="3" t="s">
        <v>85</v>
      </c>
      <c r="F15" s="5">
        <v>0.47599999999999998</v>
      </c>
      <c r="G15" s="5">
        <v>0.50600000000000001</v>
      </c>
      <c r="H15" s="5">
        <v>0.433</v>
      </c>
      <c r="I15" s="5">
        <v>0.46</v>
      </c>
      <c r="J15" s="5">
        <v>0.752</v>
      </c>
      <c r="K15" s="5">
        <v>0.39700000000000002</v>
      </c>
      <c r="L15" s="5">
        <v>0.68</v>
      </c>
      <c r="M15" s="5">
        <v>0.39400000000000002</v>
      </c>
      <c r="N15" s="5">
        <v>0.32800000000000001</v>
      </c>
      <c r="O15" s="5">
        <v>0.63500000000000001</v>
      </c>
      <c r="P15" s="5">
        <v>0.5</v>
      </c>
      <c r="Q15" s="5">
        <v>0.56999999999999995</v>
      </c>
      <c r="R15" s="5">
        <v>0.71399999999999997</v>
      </c>
      <c r="S15" s="5">
        <v>0.50900000000000001</v>
      </c>
      <c r="T15" s="5">
        <v>0.25</v>
      </c>
      <c r="U15" s="5">
        <v>0.25</v>
      </c>
      <c r="V15" s="129">
        <v>0.77</v>
      </c>
      <c r="W15" s="129">
        <v>0.73</v>
      </c>
      <c r="X15" s="129">
        <f>VLOOKUP(E15,Sheet5!$O:$Q,2,0)</f>
        <v>0.91249999999999998</v>
      </c>
      <c r="Y15">
        <f>VLOOKUP(E15,Sheet5!O:P,2,0)</f>
        <v>0.91249999999999998</v>
      </c>
      <c r="Z15" s="73" t="str">
        <f t="shared" si="1"/>
        <v>松北讯楠</v>
      </c>
      <c r="AA15" s="71">
        <f t="shared" si="5"/>
        <v>250</v>
      </c>
      <c r="AB15" s="71">
        <f t="shared" si="6"/>
        <v>770</v>
      </c>
      <c r="AC15" s="71">
        <f t="shared" si="7"/>
        <v>730</v>
      </c>
      <c r="AD15">
        <f t="shared" si="8"/>
        <v>-0.45652173913043481</v>
      </c>
      <c r="AE15">
        <f t="shared" si="9"/>
        <v>2.3936170212766061E-2</v>
      </c>
      <c r="AF15">
        <f t="shared" si="10"/>
        <v>0.83879093198992427</v>
      </c>
      <c r="AG15" s="71">
        <f t="shared" si="11"/>
        <v>912.5</v>
      </c>
      <c r="AH15" s="71">
        <f t="shared" si="12"/>
        <v>680</v>
      </c>
      <c r="AI15">
        <f t="shared" si="13"/>
        <v>0.34191176470588225</v>
      </c>
      <c r="AJ15">
        <f t="shared" si="14"/>
        <v>912.5</v>
      </c>
      <c r="AK15">
        <f t="shared" si="15"/>
        <v>1</v>
      </c>
      <c r="AL15" s="73" t="str">
        <f t="shared" si="16"/>
        <v>松北讯楠</v>
      </c>
      <c r="AM15" s="73" t="str">
        <f t="shared" si="17"/>
        <v>哈尔滨城区北所</v>
      </c>
    </row>
    <row r="16" spans="1:39" ht="15" thickBot="1" x14ac:dyDescent="0.25">
      <c r="A16">
        <f t="shared" si="4"/>
        <v>15</v>
      </c>
      <c r="B16" s="3" t="s">
        <v>4</v>
      </c>
      <c r="C16" s="3" t="s">
        <v>7</v>
      </c>
      <c r="D16" s="3" t="s">
        <v>84</v>
      </c>
      <c r="E16" s="3" t="s">
        <v>86</v>
      </c>
      <c r="F16" s="4">
        <v>0.23799999999999999</v>
      </c>
      <c r="G16" s="4">
        <v>0.156</v>
      </c>
      <c r="H16" s="4">
        <v>0.26500000000000001</v>
      </c>
      <c r="I16" s="4">
        <v>0.22900000000000001</v>
      </c>
      <c r="J16" s="4">
        <v>0.436</v>
      </c>
      <c r="K16" s="4">
        <v>0.309</v>
      </c>
      <c r="L16" s="4">
        <v>0.69299999999999995</v>
      </c>
      <c r="M16" s="4">
        <v>0.23599999999999999</v>
      </c>
      <c r="N16" s="4">
        <v>0.42099999999999999</v>
      </c>
      <c r="O16" s="4">
        <v>0.59099999999999997</v>
      </c>
      <c r="P16" s="4">
        <v>0.54700000000000004</v>
      </c>
      <c r="Q16" s="4">
        <v>0.30599999999999999</v>
      </c>
      <c r="R16" s="4">
        <v>0.505</v>
      </c>
      <c r="S16" s="4">
        <v>0.25</v>
      </c>
      <c r="T16" s="4">
        <v>0.25</v>
      </c>
      <c r="U16" s="4">
        <v>0.35899999999999999</v>
      </c>
      <c r="V16" s="128">
        <v>0.52600000000000002</v>
      </c>
      <c r="W16" s="128">
        <v>0.32500000000000001</v>
      </c>
      <c r="X16" s="128">
        <f>VLOOKUP(E16,Sheet5!$O:$Q,2,0)</f>
        <v>0.3125</v>
      </c>
      <c r="Y16">
        <f>VLOOKUP(E16,Sheet5!O:P,2,0)</f>
        <v>0.3125</v>
      </c>
      <c r="Z16" s="73" t="str">
        <f t="shared" si="1"/>
        <v>崔勤经贸</v>
      </c>
      <c r="AA16" s="71">
        <f t="shared" si="5"/>
        <v>359</v>
      </c>
      <c r="AB16" s="71">
        <f t="shared" si="6"/>
        <v>526</v>
      </c>
      <c r="AC16" s="71">
        <f t="shared" si="7"/>
        <v>325</v>
      </c>
      <c r="AD16">
        <f t="shared" si="8"/>
        <v>0.56768558951965042</v>
      </c>
      <c r="AE16">
        <f t="shared" si="9"/>
        <v>0.20642201834862384</v>
      </c>
      <c r="AF16">
        <f t="shared" si="10"/>
        <v>5.1779935275080957E-2</v>
      </c>
      <c r="AG16" s="71">
        <f t="shared" si="11"/>
        <v>312.5</v>
      </c>
      <c r="AH16" s="71">
        <f t="shared" si="12"/>
        <v>693</v>
      </c>
      <c r="AI16">
        <f t="shared" si="13"/>
        <v>-0.54906204906204903</v>
      </c>
      <c r="AJ16">
        <f t="shared" si="14"/>
        <v>312.5</v>
      </c>
      <c r="AK16">
        <f t="shared" si="15"/>
        <v>1</v>
      </c>
      <c r="AL16" s="73" t="str">
        <f t="shared" si="16"/>
        <v>崔勤经贸</v>
      </c>
      <c r="AM16" s="73" t="str">
        <f t="shared" si="17"/>
        <v>哈尔滨综合东所</v>
      </c>
    </row>
    <row r="17" spans="1:39" ht="15" thickBot="1" x14ac:dyDescent="0.25">
      <c r="A17">
        <f t="shared" si="4"/>
        <v>17</v>
      </c>
      <c r="B17" s="3" t="s">
        <v>4</v>
      </c>
      <c r="C17" s="3" t="s">
        <v>8</v>
      </c>
      <c r="D17" s="3" t="s">
        <v>84</v>
      </c>
      <c r="E17" s="3" t="s">
        <v>87</v>
      </c>
      <c r="F17" s="5">
        <v>0.18</v>
      </c>
      <c r="G17" s="5">
        <v>0.22800000000000001</v>
      </c>
      <c r="H17" s="5">
        <v>0.17399999999999999</v>
      </c>
      <c r="I17" s="5">
        <v>0.247</v>
      </c>
      <c r="J17" s="5">
        <v>0.5</v>
      </c>
      <c r="K17" s="5">
        <v>0.23100000000000001</v>
      </c>
      <c r="L17" s="5">
        <v>0.753</v>
      </c>
      <c r="M17" s="5">
        <v>0.45</v>
      </c>
      <c r="N17" s="5">
        <v>0.216</v>
      </c>
      <c r="O17" s="5">
        <v>0.24</v>
      </c>
      <c r="P17" s="5">
        <v>0.31</v>
      </c>
      <c r="Q17" s="5">
        <v>0.41599999999999998</v>
      </c>
      <c r="R17" s="5">
        <v>0.42599999999999999</v>
      </c>
      <c r="S17" s="5">
        <v>0.28999999999999998</v>
      </c>
      <c r="T17" s="5">
        <v>0.25</v>
      </c>
      <c r="U17" s="5">
        <v>0.25</v>
      </c>
      <c r="V17" s="129">
        <v>0.51800000000000002</v>
      </c>
      <c r="W17" s="129">
        <v>0.28100000000000003</v>
      </c>
      <c r="X17" s="129">
        <f>VLOOKUP(E17,Sheet5!$O:$Q,2,0)</f>
        <v>0.28249999999999997</v>
      </c>
      <c r="Y17">
        <f>VLOOKUP(E17,Sheet5!O:P,2,0)</f>
        <v>0.28249999999999997</v>
      </c>
      <c r="Z17" s="73" t="str">
        <f t="shared" si="1"/>
        <v>道外春雨</v>
      </c>
      <c r="AA17" s="71">
        <f t="shared" si="5"/>
        <v>250</v>
      </c>
      <c r="AB17" s="71">
        <f t="shared" si="6"/>
        <v>518</v>
      </c>
      <c r="AC17" s="71">
        <f t="shared" si="7"/>
        <v>281</v>
      </c>
      <c r="AD17">
        <f t="shared" si="8"/>
        <v>1.2145748987854255E-2</v>
      </c>
      <c r="AE17">
        <f t="shared" si="9"/>
        <v>3.6000000000000032E-2</v>
      </c>
      <c r="AF17">
        <f t="shared" si="10"/>
        <v>0.21645021645021645</v>
      </c>
      <c r="AG17" s="71">
        <f t="shared" si="11"/>
        <v>282.5</v>
      </c>
      <c r="AH17" s="71">
        <f t="shared" si="12"/>
        <v>753</v>
      </c>
      <c r="AI17">
        <f t="shared" si="13"/>
        <v>-0.6248339973439575</v>
      </c>
      <c r="AJ17">
        <f t="shared" si="14"/>
        <v>282.5</v>
      </c>
      <c r="AK17">
        <f t="shared" si="15"/>
        <v>1</v>
      </c>
      <c r="AL17" s="73" t="str">
        <f t="shared" si="16"/>
        <v>道外春雨</v>
      </c>
      <c r="AM17" s="73" t="str">
        <f t="shared" si="17"/>
        <v>哈尔滨综合西所</v>
      </c>
    </row>
    <row r="18" spans="1:39" ht="15" thickBot="1" x14ac:dyDescent="0.25">
      <c r="A18">
        <f t="shared" si="4"/>
        <v>10</v>
      </c>
      <c r="B18" s="3" t="s">
        <v>4</v>
      </c>
      <c r="C18" s="3" t="s">
        <v>8</v>
      </c>
      <c r="D18" s="3" t="s">
        <v>84</v>
      </c>
      <c r="E18" s="3" t="s">
        <v>88</v>
      </c>
      <c r="F18" s="4">
        <v>0.47899999999999998</v>
      </c>
      <c r="G18" s="4">
        <v>0.39700000000000002</v>
      </c>
      <c r="H18" s="4">
        <v>0.246</v>
      </c>
      <c r="I18" s="4">
        <v>0.443</v>
      </c>
      <c r="J18" s="4">
        <v>0.58899999999999997</v>
      </c>
      <c r="K18" s="4">
        <v>0.35399999999999998</v>
      </c>
      <c r="L18" s="4">
        <v>0.66200000000000003</v>
      </c>
      <c r="M18" s="4">
        <v>0.40300000000000002</v>
      </c>
      <c r="N18" s="4">
        <v>0.41099999999999998</v>
      </c>
      <c r="O18" s="4">
        <v>0.59499999999999997</v>
      </c>
      <c r="P18" s="4">
        <v>0.46300000000000002</v>
      </c>
      <c r="Q18" s="4">
        <v>0.36599999999999999</v>
      </c>
      <c r="R18" s="4">
        <v>0.35499999999999998</v>
      </c>
      <c r="S18" s="4">
        <v>0.36299999999999999</v>
      </c>
      <c r="T18" s="4">
        <v>0.05</v>
      </c>
      <c r="U18" s="4">
        <v>0.30199999999999999</v>
      </c>
      <c r="V18" s="128">
        <v>0.56200000000000006</v>
      </c>
      <c r="W18" s="128">
        <v>0.30199999999999999</v>
      </c>
      <c r="X18" s="128">
        <f>VLOOKUP(E18,Sheet5!$O:$Q,2,0)</f>
        <v>0.45750000000000002</v>
      </c>
      <c r="Y18">
        <f>VLOOKUP(E18,Sheet5!O:P,2,0)</f>
        <v>0.45750000000000002</v>
      </c>
      <c r="Z18" s="73" t="str">
        <f t="shared" si="1"/>
        <v>道里水嘉淼</v>
      </c>
      <c r="AA18" s="71">
        <f t="shared" si="5"/>
        <v>302</v>
      </c>
      <c r="AB18" s="71">
        <f t="shared" si="6"/>
        <v>562</v>
      </c>
      <c r="AC18" s="71">
        <f t="shared" si="7"/>
        <v>302</v>
      </c>
      <c r="AD18">
        <f t="shared" si="8"/>
        <v>-0.31828442437923254</v>
      </c>
      <c r="AE18">
        <f t="shared" si="9"/>
        <v>-4.5840407470288502E-2</v>
      </c>
      <c r="AF18">
        <f t="shared" si="10"/>
        <v>-0.14689265536723162</v>
      </c>
      <c r="AG18" s="71">
        <f t="shared" si="11"/>
        <v>457.5</v>
      </c>
      <c r="AH18" s="71">
        <f t="shared" si="12"/>
        <v>662</v>
      </c>
      <c r="AI18">
        <f t="shared" si="13"/>
        <v>-0.30891238670694865</v>
      </c>
      <c r="AJ18">
        <f t="shared" si="14"/>
        <v>457.5</v>
      </c>
      <c r="AK18">
        <f t="shared" si="15"/>
        <v>1</v>
      </c>
      <c r="AL18" s="73" t="str">
        <f t="shared" si="16"/>
        <v>道里水嘉淼</v>
      </c>
      <c r="AM18" s="73" t="str">
        <f t="shared" si="17"/>
        <v>哈尔滨综合西所</v>
      </c>
    </row>
    <row r="19" spans="1:39" ht="15" thickBot="1" x14ac:dyDescent="0.25">
      <c r="A19">
        <f t="shared" si="4"/>
        <v>6</v>
      </c>
      <c r="B19" s="3" t="s">
        <v>4</v>
      </c>
      <c r="C19" s="3" t="s">
        <v>9</v>
      </c>
      <c r="D19" s="3" t="s">
        <v>84</v>
      </c>
      <c r="E19" s="3" t="s">
        <v>89</v>
      </c>
      <c r="F19" s="7">
        <v>0.67600000000000005</v>
      </c>
      <c r="G19" s="7">
        <v>0.623</v>
      </c>
      <c r="H19" s="7">
        <v>0.505</v>
      </c>
      <c r="I19" s="7">
        <v>0.51100000000000001</v>
      </c>
      <c r="J19" s="7">
        <v>0.68600000000000005</v>
      </c>
      <c r="K19" s="7">
        <v>0.61199999999999999</v>
      </c>
      <c r="L19" s="7">
        <v>0.69799999999999995</v>
      </c>
      <c r="M19" s="4">
        <v>0.68200000000000005</v>
      </c>
      <c r="N19" s="4">
        <v>0.55900000000000005</v>
      </c>
      <c r="O19" s="4">
        <v>0.72</v>
      </c>
      <c r="P19" s="4">
        <v>0.56100000000000005</v>
      </c>
      <c r="Q19" s="4">
        <v>0.33700000000000002</v>
      </c>
      <c r="R19" s="4">
        <v>0.748</v>
      </c>
      <c r="S19" s="4">
        <v>0.63</v>
      </c>
      <c r="T19" s="4">
        <v>0.43</v>
      </c>
      <c r="U19" s="4">
        <v>0.47</v>
      </c>
      <c r="V19" s="128">
        <v>0.70699999999999996</v>
      </c>
      <c r="W19" s="128">
        <v>0.443</v>
      </c>
      <c r="X19" s="128">
        <f>VLOOKUP(E19,Sheet5!$O:$Q,2,0)</f>
        <v>0.53125</v>
      </c>
      <c r="Y19">
        <f>VLOOKUP(E19,Sheet5!O:P,2,0)</f>
        <v>0.53125</v>
      </c>
      <c r="Z19" s="73" t="str">
        <f t="shared" si="1"/>
        <v>维合商贸</v>
      </c>
      <c r="AA19" s="71">
        <f t="shared" si="5"/>
        <v>470</v>
      </c>
      <c r="AB19" s="71">
        <f t="shared" si="6"/>
        <v>707</v>
      </c>
      <c r="AC19" s="71">
        <f t="shared" si="7"/>
        <v>443</v>
      </c>
      <c r="AD19">
        <f t="shared" si="8"/>
        <v>-8.0234833659491245E-2</v>
      </c>
      <c r="AE19">
        <f t="shared" si="9"/>
        <v>3.0612244897959107E-2</v>
      </c>
      <c r="AF19">
        <f t="shared" si="10"/>
        <v>-0.27614379084967322</v>
      </c>
      <c r="AG19" s="71">
        <f t="shared" si="11"/>
        <v>531.25</v>
      </c>
      <c r="AH19" s="71">
        <f t="shared" si="12"/>
        <v>698</v>
      </c>
      <c r="AI19">
        <f t="shared" si="13"/>
        <v>-0.23889684813753587</v>
      </c>
      <c r="AJ19">
        <f t="shared" si="14"/>
        <v>531.25</v>
      </c>
      <c r="AK19">
        <f t="shared" si="15"/>
        <v>1</v>
      </c>
      <c r="AL19" s="73" t="str">
        <f t="shared" si="16"/>
        <v>维合商贸</v>
      </c>
      <c r="AM19" s="73" t="str">
        <f t="shared" si="17"/>
        <v>哈尔滨综合中所</v>
      </c>
    </row>
    <row r="20" spans="1:39" ht="15" thickBot="1" x14ac:dyDescent="0.25">
      <c r="A20">
        <f t="shared" si="4"/>
        <v>4</v>
      </c>
      <c r="B20" s="3" t="s">
        <v>4</v>
      </c>
      <c r="C20" s="3" t="s">
        <v>10</v>
      </c>
      <c r="D20" s="3" t="s">
        <v>73</v>
      </c>
      <c r="E20" s="3" t="s">
        <v>90</v>
      </c>
      <c r="F20" s="5">
        <v>0.18</v>
      </c>
      <c r="G20" s="5">
        <v>0.66800000000000004</v>
      </c>
      <c r="H20" s="5">
        <v>0.45</v>
      </c>
      <c r="I20" s="5">
        <v>0.55300000000000005</v>
      </c>
      <c r="J20" s="5">
        <v>0.66600000000000004</v>
      </c>
      <c r="K20" s="5">
        <v>0.56399999999999995</v>
      </c>
      <c r="L20" s="5">
        <v>0.72</v>
      </c>
      <c r="M20" s="5">
        <v>0.78300000000000003</v>
      </c>
      <c r="N20" s="5">
        <v>0.38500000000000001</v>
      </c>
      <c r="O20" s="5">
        <v>0.56599999999999995</v>
      </c>
      <c r="P20" s="5">
        <v>0.47</v>
      </c>
      <c r="Q20" s="5">
        <v>0.63900000000000001</v>
      </c>
      <c r="R20" s="5">
        <v>0.38300000000000001</v>
      </c>
      <c r="S20" s="5">
        <v>0.32</v>
      </c>
      <c r="T20" s="5">
        <v>0.26</v>
      </c>
      <c r="U20" s="5">
        <v>0.40200000000000002</v>
      </c>
      <c r="V20" s="129">
        <v>0.63900000000000001</v>
      </c>
      <c r="W20" s="129">
        <v>0.37</v>
      </c>
      <c r="X20" s="129">
        <f>VLOOKUP(E20,Sheet5!$O:$Q,2,0)</f>
        <v>0.61375000000000002</v>
      </c>
      <c r="Y20">
        <f>VLOOKUP(E20,Sheet5!O:P,2,0)</f>
        <v>0.61375000000000002</v>
      </c>
      <c r="Z20" s="73" t="str">
        <f t="shared" si="1"/>
        <v>哈市汇双元</v>
      </c>
      <c r="AA20" s="71">
        <f t="shared" si="5"/>
        <v>402</v>
      </c>
      <c r="AB20" s="71">
        <f t="shared" si="6"/>
        <v>639</v>
      </c>
      <c r="AC20" s="71">
        <f t="shared" si="7"/>
        <v>370</v>
      </c>
      <c r="AD20">
        <f t="shared" si="8"/>
        <v>-0.27305605786618448</v>
      </c>
      <c r="AE20">
        <f t="shared" si="9"/>
        <v>-4.0540540540540571E-2</v>
      </c>
      <c r="AF20">
        <f t="shared" si="10"/>
        <v>-0.34397163120567376</v>
      </c>
      <c r="AG20" s="71">
        <f t="shared" si="11"/>
        <v>613.75</v>
      </c>
      <c r="AH20" s="71">
        <f t="shared" si="12"/>
        <v>720</v>
      </c>
      <c r="AI20">
        <f t="shared" si="13"/>
        <v>-0.14756944444444442</v>
      </c>
      <c r="AJ20">
        <f t="shared" si="14"/>
        <v>613.75</v>
      </c>
      <c r="AK20">
        <f t="shared" si="15"/>
        <v>1</v>
      </c>
      <c r="AL20" s="73" t="str">
        <f t="shared" si="16"/>
        <v>哈市汇双元</v>
      </c>
      <c r="AM20" s="73" t="str">
        <f t="shared" si="17"/>
        <v>五常外埠所</v>
      </c>
    </row>
    <row r="21" spans="1:39" ht="15" thickBot="1" x14ac:dyDescent="0.25">
      <c r="A21">
        <f t="shared" si="4"/>
        <v>8</v>
      </c>
      <c r="B21" s="3" t="s">
        <v>4</v>
      </c>
      <c r="C21" s="3" t="s">
        <v>10</v>
      </c>
      <c r="D21" s="3" t="s">
        <v>75</v>
      </c>
      <c r="E21" s="3" t="s">
        <v>91</v>
      </c>
      <c r="F21" s="4">
        <v>0.36</v>
      </c>
      <c r="G21" s="4">
        <v>0.27200000000000002</v>
      </c>
      <c r="H21" s="4">
        <v>0.42699999999999999</v>
      </c>
      <c r="I21" s="4">
        <v>0.13100000000000001</v>
      </c>
      <c r="J21" s="4">
        <v>0.53100000000000003</v>
      </c>
      <c r="K21" s="4">
        <v>0.438</v>
      </c>
      <c r="L21" s="4">
        <v>0.46500000000000002</v>
      </c>
      <c r="M21" s="4">
        <v>0.40400000000000003</v>
      </c>
      <c r="N21" s="4">
        <v>0.13300000000000001</v>
      </c>
      <c r="O21" s="4">
        <v>0.64200000000000002</v>
      </c>
      <c r="P21" s="4">
        <v>0.35</v>
      </c>
      <c r="Q21" s="4">
        <v>0.65100000000000002</v>
      </c>
      <c r="R21" s="4">
        <v>0.33</v>
      </c>
      <c r="S21" s="4">
        <v>0.48399999999999999</v>
      </c>
      <c r="T21" s="4">
        <v>0.15</v>
      </c>
      <c r="U21" s="4">
        <v>0.32</v>
      </c>
      <c r="V21" s="128">
        <v>0.621</v>
      </c>
      <c r="W21" s="128">
        <v>0.29199999999999998</v>
      </c>
      <c r="X21" s="128">
        <f>VLOOKUP(E21,Sheet5!$O:$Q,2,0)</f>
        <v>0.34375</v>
      </c>
      <c r="Y21">
        <f>VLOOKUP(E21,Sheet5!O:P,2,0)</f>
        <v>0.34375</v>
      </c>
      <c r="Z21" s="73" t="str">
        <f t="shared" si="1"/>
        <v>洪亮经贸</v>
      </c>
      <c r="AA21" s="71">
        <f t="shared" si="5"/>
        <v>320</v>
      </c>
      <c r="AB21" s="71">
        <f t="shared" si="6"/>
        <v>621</v>
      </c>
      <c r="AC21" s="71">
        <f t="shared" si="7"/>
        <v>292</v>
      </c>
      <c r="AD21">
        <f t="shared" si="8"/>
        <v>1.4427480916030535</v>
      </c>
      <c r="AE21">
        <f t="shared" si="9"/>
        <v>0.16949152542372881</v>
      </c>
      <c r="AF21">
        <f t="shared" si="10"/>
        <v>-0.33333333333333337</v>
      </c>
      <c r="AG21" s="71">
        <f t="shared" si="11"/>
        <v>343.75</v>
      </c>
      <c r="AH21" s="71">
        <f t="shared" si="12"/>
        <v>465</v>
      </c>
      <c r="AI21">
        <f t="shared" si="13"/>
        <v>-0.260752688172043</v>
      </c>
      <c r="AJ21">
        <f t="shared" si="14"/>
        <v>343.75</v>
      </c>
      <c r="AK21">
        <f t="shared" si="15"/>
        <v>1</v>
      </c>
      <c r="AL21" s="73" t="str">
        <f t="shared" si="16"/>
        <v>洪亮经贸</v>
      </c>
      <c r="AM21" s="73" t="str">
        <f t="shared" si="17"/>
        <v>五常外埠所</v>
      </c>
    </row>
    <row r="22" spans="1:39" ht="15" thickBot="1" x14ac:dyDescent="0.25">
      <c r="A22">
        <f t="shared" si="4"/>
        <v>3</v>
      </c>
      <c r="B22" s="3" t="s">
        <v>4</v>
      </c>
      <c r="C22" s="3" t="s">
        <v>10</v>
      </c>
      <c r="D22" s="3" t="s">
        <v>83</v>
      </c>
      <c r="E22" s="3" t="s">
        <v>92</v>
      </c>
      <c r="F22" s="5">
        <v>0.48899999999999999</v>
      </c>
      <c r="G22" s="5">
        <v>0.38800000000000001</v>
      </c>
      <c r="H22" s="5">
        <v>0.45500000000000002</v>
      </c>
      <c r="I22" s="5">
        <v>0.55800000000000005</v>
      </c>
      <c r="J22" s="5">
        <v>0.88</v>
      </c>
      <c r="K22" s="5">
        <v>0.68899999999999995</v>
      </c>
      <c r="L22" s="5">
        <v>0.71499999999999997</v>
      </c>
      <c r="M22" s="5">
        <v>0.71299999999999997</v>
      </c>
      <c r="N22" s="5">
        <v>0.48299999999999998</v>
      </c>
      <c r="O22" s="5">
        <v>0.105</v>
      </c>
      <c r="P22" s="5">
        <v>0.60499999999999998</v>
      </c>
      <c r="Q22" s="5">
        <v>0.51200000000000001</v>
      </c>
      <c r="R22" s="5">
        <v>0.47099999999999997</v>
      </c>
      <c r="S22" s="5">
        <v>0.38600000000000001</v>
      </c>
      <c r="T22" s="5">
        <v>0.25</v>
      </c>
      <c r="U22" s="5">
        <v>0.3</v>
      </c>
      <c r="V22" s="129">
        <v>0.63200000000000001</v>
      </c>
      <c r="W22" s="129">
        <v>0.53800000000000003</v>
      </c>
      <c r="X22" s="129">
        <f>VLOOKUP(E22,Sheet5!$O:$Q,2,0)</f>
        <v>0.71875</v>
      </c>
      <c r="Y22">
        <f>VLOOKUP(E22,Sheet5!O:P,2,0)</f>
        <v>0.71875</v>
      </c>
      <c r="Z22" s="73" t="str">
        <f t="shared" si="1"/>
        <v>双城宏鑫</v>
      </c>
      <c r="AA22" s="71">
        <f t="shared" si="5"/>
        <v>300</v>
      </c>
      <c r="AB22" s="71">
        <f t="shared" si="6"/>
        <v>632</v>
      </c>
      <c r="AC22" s="71">
        <f t="shared" si="7"/>
        <v>538</v>
      </c>
      <c r="AD22">
        <f t="shared" si="8"/>
        <v>-0.4623655913978495</v>
      </c>
      <c r="AE22">
        <f t="shared" si="9"/>
        <v>-0.28181818181818186</v>
      </c>
      <c r="AF22">
        <f t="shared" si="10"/>
        <v>-0.21915820029027566</v>
      </c>
      <c r="AG22" s="71">
        <f t="shared" si="11"/>
        <v>718.75</v>
      </c>
      <c r="AH22" s="71">
        <f t="shared" si="12"/>
        <v>715</v>
      </c>
      <c r="AI22">
        <f t="shared" si="13"/>
        <v>5.2447552447552059E-3</v>
      </c>
      <c r="AJ22">
        <f t="shared" si="14"/>
        <v>718.75</v>
      </c>
      <c r="AK22">
        <f t="shared" si="15"/>
        <v>1</v>
      </c>
      <c r="AL22" s="73" t="str">
        <f t="shared" si="16"/>
        <v>双城宏鑫</v>
      </c>
      <c r="AM22" s="73" t="str">
        <f t="shared" si="17"/>
        <v>五常外埠所</v>
      </c>
    </row>
    <row r="23" spans="1:39" ht="15" thickBot="1" x14ac:dyDescent="0.25">
      <c r="A23">
        <f t="shared" si="4"/>
        <v>9</v>
      </c>
      <c r="B23" s="3" t="s">
        <v>4</v>
      </c>
      <c r="C23" s="3" t="s">
        <v>10</v>
      </c>
      <c r="D23" s="3" t="s">
        <v>83</v>
      </c>
      <c r="E23" s="3" t="s">
        <v>93</v>
      </c>
      <c r="F23" s="6">
        <v>0.48699999999999999</v>
      </c>
      <c r="G23" s="6">
        <v>0.24</v>
      </c>
      <c r="H23" s="6">
        <v>0.34100000000000003</v>
      </c>
      <c r="I23" s="5">
        <v>0.43</v>
      </c>
      <c r="J23" s="5">
        <v>0.76200000000000001</v>
      </c>
      <c r="K23" s="5">
        <v>0.45500000000000002</v>
      </c>
      <c r="L23" s="5">
        <v>0.88700000000000001</v>
      </c>
      <c r="M23" s="5">
        <v>0.73099999999999998</v>
      </c>
      <c r="N23" s="5">
        <v>0.48099999999999998</v>
      </c>
      <c r="O23" s="5">
        <v>0.48699999999999999</v>
      </c>
      <c r="P23" s="5">
        <v>0.60499999999999998</v>
      </c>
      <c r="Q23" s="5">
        <v>0.66400000000000003</v>
      </c>
      <c r="R23" s="5">
        <v>0.52</v>
      </c>
      <c r="S23" s="5">
        <v>0.33800000000000002</v>
      </c>
      <c r="T23" s="5">
        <v>0.25</v>
      </c>
      <c r="U23" s="5">
        <v>0.25</v>
      </c>
      <c r="V23" s="129">
        <v>0.49399999999999999</v>
      </c>
      <c r="W23" s="129">
        <v>0.25</v>
      </c>
      <c r="X23" s="129">
        <f>VLOOKUP(E23,Sheet5!$O:$Q,2,0)</f>
        <v>0.64249999999999996</v>
      </c>
      <c r="Y23">
        <f>VLOOKUP(E23,Sheet5!O:P,2,0)</f>
        <v>0.64249999999999996</v>
      </c>
      <c r="Z23" s="73" t="str">
        <f t="shared" si="1"/>
        <v>五常林浩雪</v>
      </c>
      <c r="AA23" s="71">
        <f t="shared" si="5"/>
        <v>250</v>
      </c>
      <c r="AB23" s="71">
        <f t="shared" si="6"/>
        <v>494</v>
      </c>
      <c r="AC23" s="71">
        <f t="shared" si="7"/>
        <v>250</v>
      </c>
      <c r="AD23">
        <f t="shared" si="8"/>
        <v>-0.41860465116279066</v>
      </c>
      <c r="AE23">
        <f t="shared" si="9"/>
        <v>-0.35170603674540679</v>
      </c>
      <c r="AF23">
        <f t="shared" si="10"/>
        <v>-0.45054945054945061</v>
      </c>
      <c r="AG23" s="71">
        <f t="shared" si="11"/>
        <v>642.5</v>
      </c>
      <c r="AH23" s="71">
        <f t="shared" si="12"/>
        <v>887</v>
      </c>
      <c r="AI23">
        <f t="shared" si="13"/>
        <v>-0.27564825253664038</v>
      </c>
      <c r="AJ23">
        <f t="shared" si="14"/>
        <v>642.5</v>
      </c>
      <c r="AK23">
        <f t="shared" si="15"/>
        <v>1</v>
      </c>
      <c r="AL23" s="73" t="str">
        <f t="shared" si="16"/>
        <v>五常林浩雪</v>
      </c>
      <c r="AM23" s="73" t="str">
        <f t="shared" si="17"/>
        <v>五常外埠所</v>
      </c>
    </row>
    <row r="24" spans="1:39" ht="15" thickBot="1" x14ac:dyDescent="0.25">
      <c r="A24">
        <f t="shared" si="4"/>
        <v>11</v>
      </c>
      <c r="B24" s="3" t="s">
        <v>4</v>
      </c>
      <c r="C24" s="3" t="s">
        <v>10</v>
      </c>
      <c r="D24" s="3" t="s">
        <v>94</v>
      </c>
      <c r="E24" s="3" t="s">
        <v>95</v>
      </c>
      <c r="F24" s="4">
        <v>0.307</v>
      </c>
      <c r="G24" s="4">
        <v>0.56000000000000005</v>
      </c>
      <c r="H24" s="4">
        <v>0.12</v>
      </c>
      <c r="I24" s="4">
        <v>0.12</v>
      </c>
      <c r="J24" s="4">
        <v>0.36</v>
      </c>
      <c r="K24" s="4">
        <v>0.45</v>
      </c>
      <c r="L24" s="4">
        <v>0.54600000000000004</v>
      </c>
      <c r="M24" s="4">
        <v>0.61599999999999999</v>
      </c>
      <c r="N24" s="4">
        <v>0.378</v>
      </c>
      <c r="O24" s="4">
        <v>0.48099999999999998</v>
      </c>
      <c r="P24" s="4">
        <v>0.4</v>
      </c>
      <c r="Q24" s="4">
        <v>0.21</v>
      </c>
      <c r="R24" s="4">
        <v>0.20499999999999999</v>
      </c>
      <c r="S24" s="4">
        <v>0.39100000000000001</v>
      </c>
      <c r="T24" s="4">
        <v>0.2</v>
      </c>
      <c r="U24" s="4">
        <v>0.2</v>
      </c>
      <c r="V24" s="128">
        <v>0.39500000000000002</v>
      </c>
      <c r="W24" s="128">
        <v>0.28599999999999998</v>
      </c>
      <c r="X24" s="128">
        <f>VLOOKUP(E24,Sheet5!$O:$Q,2,0)</f>
        <v>0.33750000000000002</v>
      </c>
      <c r="Y24">
        <f>VLOOKUP(E24,Sheet5!O:P,2,0)</f>
        <v>0.33750000000000002</v>
      </c>
      <c r="Z24" s="73" t="str">
        <f t="shared" si="1"/>
        <v>阿城鑫未来</v>
      </c>
      <c r="AA24" s="71">
        <f t="shared" si="5"/>
        <v>200</v>
      </c>
      <c r="AB24" s="71">
        <f t="shared" si="6"/>
        <v>395</v>
      </c>
      <c r="AC24" s="71">
        <f t="shared" si="7"/>
        <v>286</v>
      </c>
      <c r="AD24">
        <f t="shared" si="8"/>
        <v>0.66666666666666674</v>
      </c>
      <c r="AE24">
        <f t="shared" si="9"/>
        <v>9.7222222222222321E-2</v>
      </c>
      <c r="AF24">
        <f t="shared" si="10"/>
        <v>-0.36444444444444446</v>
      </c>
      <c r="AG24" s="71">
        <f t="shared" si="11"/>
        <v>337.5</v>
      </c>
      <c r="AH24" s="71">
        <f t="shared" si="12"/>
        <v>546</v>
      </c>
      <c r="AI24">
        <f t="shared" si="13"/>
        <v>-0.38186813186813184</v>
      </c>
      <c r="AJ24">
        <f t="shared" si="14"/>
        <v>337.5</v>
      </c>
      <c r="AK24">
        <f t="shared" si="15"/>
        <v>1</v>
      </c>
      <c r="AL24" s="73" t="str">
        <f t="shared" si="16"/>
        <v>阿城鑫未来</v>
      </c>
      <c r="AM24" s="73" t="str">
        <f t="shared" si="17"/>
        <v>五常外埠所</v>
      </c>
    </row>
    <row r="25" spans="1:39" ht="15" thickBot="1" x14ac:dyDescent="0.25">
      <c r="A25" s="132">
        <f>RANK(AI25,$AI$25:$AI$55)</f>
        <v>26</v>
      </c>
      <c r="B25" s="3" t="s">
        <v>12</v>
      </c>
      <c r="C25" s="3" t="s">
        <v>13</v>
      </c>
      <c r="D25" s="3" t="s">
        <v>84</v>
      </c>
      <c r="E25" s="3" t="s">
        <v>96</v>
      </c>
      <c r="F25" s="7">
        <v>0.40100000000000002</v>
      </c>
      <c r="G25" s="7">
        <v>0.2</v>
      </c>
      <c r="H25" s="4">
        <v>0.58799999999999997</v>
      </c>
      <c r="I25" s="4">
        <v>0.187</v>
      </c>
      <c r="J25" s="4">
        <v>0.63800000000000001</v>
      </c>
      <c r="K25" s="4">
        <v>0.30299999999999999</v>
      </c>
      <c r="L25" s="4">
        <v>0.44900000000000001</v>
      </c>
      <c r="M25" s="4">
        <v>0.11</v>
      </c>
      <c r="N25" s="4">
        <v>0.36099999999999999</v>
      </c>
      <c r="O25" s="4">
        <v>0.46500000000000002</v>
      </c>
      <c r="P25" s="4">
        <v>0.40799999999999997</v>
      </c>
      <c r="Q25" s="4">
        <v>0.27700000000000002</v>
      </c>
      <c r="R25" s="4">
        <v>0.26500000000000001</v>
      </c>
      <c r="S25" s="4">
        <v>0.314</v>
      </c>
      <c r="T25" s="4">
        <v>0.248</v>
      </c>
      <c r="U25" s="4">
        <v>0.15</v>
      </c>
      <c r="V25" s="128">
        <v>0.48499999999999999</v>
      </c>
      <c r="W25" s="128">
        <v>0.248</v>
      </c>
      <c r="X25" s="128">
        <f>VLOOKUP(E25,Sheet5!$O:$Q,2,0)</f>
        <v>0.15125</v>
      </c>
      <c r="Y25">
        <f>VLOOKUP(E25,Sheet5!O:P,2,0)</f>
        <v>0.15125</v>
      </c>
      <c r="Z25" s="73" t="str">
        <f t="shared" si="1"/>
        <v>鹤岗鸿翊隆</v>
      </c>
      <c r="AA25" s="71">
        <f t="shared" si="5"/>
        <v>150</v>
      </c>
      <c r="AB25" s="71">
        <f t="shared" si="6"/>
        <v>485</v>
      </c>
      <c r="AC25" s="71">
        <f t="shared" si="7"/>
        <v>248</v>
      </c>
      <c r="AD25">
        <f t="shared" si="8"/>
        <v>-0.19786096256684493</v>
      </c>
      <c r="AE25">
        <f t="shared" si="9"/>
        <v>-0.23981191222570541</v>
      </c>
      <c r="AF25">
        <f t="shared" si="10"/>
        <v>-0.18151815181518149</v>
      </c>
      <c r="AG25" s="71">
        <f t="shared" si="11"/>
        <v>151.25</v>
      </c>
      <c r="AH25" s="71">
        <f t="shared" si="12"/>
        <v>449</v>
      </c>
      <c r="AI25">
        <f t="shared" si="13"/>
        <v>-0.6631403118040089</v>
      </c>
      <c r="AJ25">
        <f t="shared" si="14"/>
        <v>151.25</v>
      </c>
      <c r="AK25">
        <f t="shared" si="15"/>
        <v>1</v>
      </c>
      <c r="AL25" s="73" t="str">
        <f t="shared" si="16"/>
        <v>鹤岗鸿翊隆</v>
      </c>
      <c r="AM25" s="73" t="str">
        <f t="shared" si="17"/>
        <v>鹤岗城区所</v>
      </c>
    </row>
    <row r="26" spans="1:39" ht="15" thickBot="1" x14ac:dyDescent="0.25">
      <c r="A26" s="132">
        <f t="shared" ref="A26:A55" si="18">RANK(AI26,$AI$25:$AI$55)</f>
        <v>3</v>
      </c>
      <c r="B26" s="3" t="s">
        <v>12</v>
      </c>
      <c r="C26" s="3" t="s">
        <v>14</v>
      </c>
      <c r="D26" s="3" t="s">
        <v>73</v>
      </c>
      <c r="E26" s="3" t="s">
        <v>97</v>
      </c>
      <c r="F26" s="4">
        <v>0.24</v>
      </c>
      <c r="G26" s="4">
        <v>0.22</v>
      </c>
      <c r="H26" s="4">
        <v>6.0000000000000001E-3</v>
      </c>
      <c r="I26" s="4">
        <v>0.315</v>
      </c>
      <c r="J26" s="4">
        <v>0.27700000000000002</v>
      </c>
      <c r="K26" s="4">
        <v>0.52800000000000002</v>
      </c>
      <c r="L26" s="4">
        <v>0.22500000000000001</v>
      </c>
      <c r="M26" s="4">
        <v>0.48299999999999998</v>
      </c>
      <c r="N26" s="4">
        <v>0.215</v>
      </c>
      <c r="O26" s="4">
        <v>0.247</v>
      </c>
      <c r="P26" s="4">
        <v>0.29899999999999999</v>
      </c>
      <c r="Q26" s="4">
        <v>0.41699999999999998</v>
      </c>
      <c r="R26" s="4">
        <v>0.245</v>
      </c>
      <c r="S26" s="4">
        <v>9.5000000000000001E-2</v>
      </c>
      <c r="T26" s="4">
        <v>0.19</v>
      </c>
      <c r="U26" s="4">
        <v>0.28499999999999998</v>
      </c>
      <c r="V26" s="128">
        <v>0.26900000000000002</v>
      </c>
      <c r="W26" s="128">
        <v>0.28699999999999998</v>
      </c>
      <c r="X26" s="128">
        <f>VLOOKUP(E26,Sheet5!$O:$Q,2,0)</f>
        <v>0.35875000000000001</v>
      </c>
      <c r="Y26">
        <f>VLOOKUP(E26,Sheet5!O:P,2,0)</f>
        <v>0.35875000000000001</v>
      </c>
      <c r="Z26" s="73" t="str">
        <f t="shared" si="1"/>
        <v>鸡西红燕</v>
      </c>
      <c r="AA26" s="71">
        <f t="shared" si="5"/>
        <v>285</v>
      </c>
      <c r="AB26" s="71">
        <f t="shared" si="6"/>
        <v>269</v>
      </c>
      <c r="AC26" s="71">
        <f t="shared" si="7"/>
        <v>287</v>
      </c>
      <c r="AD26">
        <f t="shared" si="8"/>
        <v>-9.5238095238095344E-2</v>
      </c>
      <c r="AE26">
        <f t="shared" si="9"/>
        <v>-2.8880866425992857E-2</v>
      </c>
      <c r="AF26">
        <f t="shared" si="10"/>
        <v>-0.45643939393939403</v>
      </c>
      <c r="AG26" s="71">
        <f t="shared" si="11"/>
        <v>358.75</v>
      </c>
      <c r="AH26" s="71">
        <f t="shared" si="12"/>
        <v>225</v>
      </c>
      <c r="AI26">
        <f t="shared" si="13"/>
        <v>0.59444444444444455</v>
      </c>
      <c r="AJ26">
        <f t="shared" si="14"/>
        <v>358.75</v>
      </c>
      <c r="AK26">
        <f t="shared" si="15"/>
        <v>1</v>
      </c>
      <c r="AL26" s="73" t="str">
        <f t="shared" si="16"/>
        <v>鸡西红燕</v>
      </c>
      <c r="AM26" s="73" t="str">
        <f t="shared" si="17"/>
        <v>鸡西城区所</v>
      </c>
    </row>
    <row r="27" spans="1:39" ht="15" thickBot="1" x14ac:dyDescent="0.25">
      <c r="A27" s="132">
        <f t="shared" si="18"/>
        <v>29</v>
      </c>
      <c r="B27" s="3" t="s">
        <v>12</v>
      </c>
      <c r="C27" s="3" t="s">
        <v>14</v>
      </c>
      <c r="D27" s="3" t="s">
        <v>75</v>
      </c>
      <c r="E27" s="3" t="s">
        <v>98</v>
      </c>
      <c r="F27" s="5">
        <v>0.25</v>
      </c>
      <c r="G27" s="5">
        <v>0.24199999999999999</v>
      </c>
      <c r="H27" s="5">
        <v>0.24399999999999999</v>
      </c>
      <c r="I27" s="5">
        <v>0.23400000000000001</v>
      </c>
      <c r="J27" s="5">
        <v>0.36</v>
      </c>
      <c r="K27" s="5">
        <v>0.30499999999999999</v>
      </c>
      <c r="L27" s="5">
        <v>0.3</v>
      </c>
      <c r="M27" s="5">
        <v>0.32</v>
      </c>
      <c r="N27" s="5">
        <v>0.35499999999999998</v>
      </c>
      <c r="O27" s="5">
        <v>0.315</v>
      </c>
      <c r="P27" s="5">
        <v>0.33500000000000002</v>
      </c>
      <c r="Q27" s="5">
        <v>0.27100000000000002</v>
      </c>
      <c r="R27" s="5">
        <v>0.25</v>
      </c>
      <c r="S27" s="5">
        <v>0.26600000000000001</v>
      </c>
      <c r="T27" s="5">
        <v>0.21299999999999999</v>
      </c>
      <c r="U27" s="5">
        <v>0.21199999999999999</v>
      </c>
      <c r="V27" s="129">
        <v>0.35</v>
      </c>
      <c r="W27" s="129">
        <v>0.29099999999999998</v>
      </c>
      <c r="X27" s="129">
        <f>VLOOKUP(E27,Sheet5!$O:$Q,2,0)</f>
        <v>8.1250000000000003E-2</v>
      </c>
      <c r="Y27">
        <f>VLOOKUP(E27,Sheet5!O:P,2,0)</f>
        <v>8.1250000000000003E-2</v>
      </c>
      <c r="Z27" s="73" t="str">
        <f t="shared" si="1"/>
        <v>密山隆旺</v>
      </c>
      <c r="AA27" s="71">
        <f t="shared" si="5"/>
        <v>212</v>
      </c>
      <c r="AB27" s="71">
        <f t="shared" si="6"/>
        <v>350</v>
      </c>
      <c r="AC27" s="71">
        <f t="shared" si="7"/>
        <v>291</v>
      </c>
      <c r="AD27">
        <f t="shared" si="8"/>
        <v>-9.4017094017094127E-2</v>
      </c>
      <c r="AE27">
        <f t="shared" si="9"/>
        <v>-2.777777777777779E-2</v>
      </c>
      <c r="AF27">
        <f t="shared" si="10"/>
        <v>-4.590163934426239E-2</v>
      </c>
      <c r="AG27" s="71">
        <f t="shared" si="11"/>
        <v>81.25</v>
      </c>
      <c r="AH27" s="71">
        <f t="shared" si="12"/>
        <v>300</v>
      </c>
      <c r="AI27">
        <f t="shared" si="13"/>
        <v>-0.72916666666666674</v>
      </c>
      <c r="AJ27">
        <f t="shared" si="14"/>
        <v>81.25</v>
      </c>
      <c r="AK27">
        <f t="shared" si="15"/>
        <v>1</v>
      </c>
      <c r="AL27" s="73" t="str">
        <f t="shared" si="16"/>
        <v>密山隆旺</v>
      </c>
      <c r="AM27" s="73" t="str">
        <f t="shared" si="17"/>
        <v>鸡西城区所</v>
      </c>
    </row>
    <row r="28" spans="1:39" ht="15" thickBot="1" x14ac:dyDescent="0.25">
      <c r="A28" s="132">
        <f t="shared" si="18"/>
        <v>21</v>
      </c>
      <c r="B28" s="3" t="s">
        <v>12</v>
      </c>
      <c r="C28" s="3" t="s">
        <v>14</v>
      </c>
      <c r="D28" s="3" t="s">
        <v>84</v>
      </c>
      <c r="E28" s="3" t="s">
        <v>99</v>
      </c>
      <c r="F28" s="6">
        <v>0.28999999999999998</v>
      </c>
      <c r="G28" s="6">
        <v>0.04</v>
      </c>
      <c r="H28" s="6">
        <v>0.28100000000000003</v>
      </c>
      <c r="I28" s="6">
        <v>0.20499999999999999</v>
      </c>
      <c r="J28" s="6">
        <v>0.27300000000000002</v>
      </c>
      <c r="K28" s="6">
        <v>0.20599999999999999</v>
      </c>
      <c r="L28" s="5">
        <v>0.436</v>
      </c>
      <c r="M28" s="5">
        <v>0.19400000000000001</v>
      </c>
      <c r="N28" s="5">
        <v>0.39700000000000002</v>
      </c>
      <c r="O28" s="5">
        <v>0.42499999999999999</v>
      </c>
      <c r="P28" s="5">
        <v>0.311</v>
      </c>
      <c r="Q28" s="5">
        <v>0.36499999999999999</v>
      </c>
      <c r="R28" s="5">
        <v>0.28799999999999998</v>
      </c>
      <c r="S28" s="5">
        <v>0.254</v>
      </c>
      <c r="T28" s="5">
        <v>0.246</v>
      </c>
      <c r="U28" s="5">
        <v>0.15</v>
      </c>
      <c r="V28" s="129">
        <v>0.186</v>
      </c>
      <c r="W28" s="129">
        <v>0.374</v>
      </c>
      <c r="X28" s="129">
        <f>VLOOKUP(E28,Sheet5!$O:$Q,2,0)</f>
        <v>0.29875000000000002</v>
      </c>
      <c r="Y28">
        <f>VLOOKUP(E28,Sheet5!O:P,2,0)</f>
        <v>0.29875000000000002</v>
      </c>
      <c r="Z28" s="73" t="str">
        <f t="shared" si="1"/>
        <v>鸡西杰旭</v>
      </c>
      <c r="AA28" s="71">
        <f t="shared" si="5"/>
        <v>150</v>
      </c>
      <c r="AB28" s="71">
        <f t="shared" si="6"/>
        <v>186</v>
      </c>
      <c r="AC28" s="71">
        <f t="shared" si="7"/>
        <v>374</v>
      </c>
      <c r="AD28">
        <f t="shared" si="8"/>
        <v>-0.26829268292682928</v>
      </c>
      <c r="AE28">
        <f t="shared" si="9"/>
        <v>-0.31868131868131877</v>
      </c>
      <c r="AF28">
        <f t="shared" si="10"/>
        <v>0.81553398058252435</v>
      </c>
      <c r="AG28" s="71">
        <f t="shared" si="11"/>
        <v>298.75</v>
      </c>
      <c r="AH28" s="71">
        <f t="shared" si="12"/>
        <v>436</v>
      </c>
      <c r="AI28">
        <f t="shared" si="13"/>
        <v>-0.31479357798165142</v>
      </c>
      <c r="AJ28">
        <f t="shared" si="14"/>
        <v>298.75</v>
      </c>
      <c r="AK28">
        <f t="shared" si="15"/>
        <v>1</v>
      </c>
      <c r="AL28" s="73" t="str">
        <f t="shared" si="16"/>
        <v>鸡西杰旭</v>
      </c>
      <c r="AM28" s="73" t="str">
        <f t="shared" si="17"/>
        <v>鸡西城区所</v>
      </c>
    </row>
    <row r="29" spans="1:39" ht="15" thickBot="1" x14ac:dyDescent="0.25">
      <c r="A29" s="132">
        <f t="shared" si="18"/>
        <v>16</v>
      </c>
      <c r="B29" s="3" t="s">
        <v>12</v>
      </c>
      <c r="C29" s="3" t="s">
        <v>15</v>
      </c>
      <c r="D29" s="3" t="s">
        <v>84</v>
      </c>
      <c r="E29" s="3" t="s">
        <v>101</v>
      </c>
      <c r="F29" s="5">
        <v>0.27</v>
      </c>
      <c r="G29" s="5">
        <v>6.7000000000000004E-2</v>
      </c>
      <c r="H29" s="5">
        <v>0.34899999999999998</v>
      </c>
      <c r="I29" s="5">
        <v>0.17699999999999999</v>
      </c>
      <c r="J29" s="5">
        <v>0.436</v>
      </c>
      <c r="K29" s="5">
        <v>0.21199999999999999</v>
      </c>
      <c r="L29" s="5">
        <v>0.28000000000000003</v>
      </c>
      <c r="M29" s="5">
        <v>0.2</v>
      </c>
      <c r="N29" s="5">
        <v>0.27200000000000002</v>
      </c>
      <c r="O29" s="5">
        <v>0.27300000000000002</v>
      </c>
      <c r="P29" s="5">
        <v>0.311</v>
      </c>
      <c r="Q29" s="5">
        <v>0.17100000000000001</v>
      </c>
      <c r="R29" s="5">
        <v>0.24</v>
      </c>
      <c r="S29" s="5">
        <v>7.3999999999999996E-2</v>
      </c>
      <c r="T29" s="5">
        <v>0.155</v>
      </c>
      <c r="U29" s="5">
        <v>0.157</v>
      </c>
      <c r="V29" s="129">
        <v>0.33</v>
      </c>
      <c r="W29" s="129">
        <v>0.16</v>
      </c>
      <c r="X29" s="129">
        <f>VLOOKUP(E29,Sheet5!$O:$Q,2,0)</f>
        <v>0.27750000000000002</v>
      </c>
      <c r="Y29">
        <f>VLOOKUP(E29,Sheet5!O:P,2,0)</f>
        <v>0.27750000000000002</v>
      </c>
      <c r="Z29" s="73" t="str">
        <f t="shared" si="1"/>
        <v>佳市缘百</v>
      </c>
      <c r="AA29" s="71">
        <f t="shared" si="5"/>
        <v>157</v>
      </c>
      <c r="AB29" s="71">
        <f t="shared" si="6"/>
        <v>330</v>
      </c>
      <c r="AC29" s="71">
        <f t="shared" si="7"/>
        <v>160</v>
      </c>
      <c r="AD29">
        <f t="shared" si="8"/>
        <v>-0.11299435028248583</v>
      </c>
      <c r="AE29">
        <f t="shared" si="9"/>
        <v>-0.24311926605504586</v>
      </c>
      <c r="AF29">
        <f t="shared" si="10"/>
        <v>-0.24528301886792447</v>
      </c>
      <c r="AG29" s="71">
        <f t="shared" si="11"/>
        <v>277.5</v>
      </c>
      <c r="AH29" s="71">
        <f t="shared" si="12"/>
        <v>280</v>
      </c>
      <c r="AI29">
        <f t="shared" si="13"/>
        <v>-8.9285714285713969E-3</v>
      </c>
      <c r="AJ29">
        <f t="shared" si="14"/>
        <v>277.5</v>
      </c>
      <c r="AK29">
        <f t="shared" si="15"/>
        <v>1</v>
      </c>
      <c r="AL29" s="73" t="str">
        <f t="shared" si="16"/>
        <v>佳市缘百</v>
      </c>
      <c r="AM29" s="73" t="str">
        <f t="shared" si="17"/>
        <v>佳木斯城区所</v>
      </c>
    </row>
    <row r="30" spans="1:39" ht="15" thickBot="1" x14ac:dyDescent="0.25">
      <c r="A30" s="132">
        <f t="shared" si="18"/>
        <v>30</v>
      </c>
      <c r="B30" s="3" t="s">
        <v>12</v>
      </c>
      <c r="C30" s="3" t="s">
        <v>15</v>
      </c>
      <c r="D30" s="3" t="s">
        <v>84</v>
      </c>
      <c r="E30" s="3" t="s">
        <v>102</v>
      </c>
      <c r="F30" s="4">
        <v>0.18</v>
      </c>
      <c r="G30" s="4">
        <v>7.1999999999999995E-2</v>
      </c>
      <c r="H30" s="4">
        <v>0.13</v>
      </c>
      <c r="I30" s="4">
        <v>0.19</v>
      </c>
      <c r="J30" s="4">
        <v>0.245</v>
      </c>
      <c r="K30" s="4">
        <v>0.155</v>
      </c>
      <c r="L30" s="4">
        <v>0.2</v>
      </c>
      <c r="M30" s="4">
        <v>0.10199999999999999</v>
      </c>
      <c r="N30" s="4">
        <v>0.16900000000000001</v>
      </c>
      <c r="O30" s="4">
        <v>0.215</v>
      </c>
      <c r="P30" s="4">
        <v>0.27300000000000002</v>
      </c>
      <c r="Q30" s="4">
        <v>0.18</v>
      </c>
      <c r="R30" s="4">
        <v>0.221</v>
      </c>
      <c r="S30" s="4">
        <v>0.113</v>
      </c>
      <c r="T30" s="4">
        <v>0.19800000000000001</v>
      </c>
      <c r="U30" s="4">
        <v>0.15</v>
      </c>
      <c r="V30" s="128">
        <v>0.313</v>
      </c>
      <c r="W30" s="128">
        <v>0.17</v>
      </c>
      <c r="X30" s="128">
        <f>VLOOKUP(E30,Sheet5!$O:$Q,2,0)</f>
        <v>5.2499999999999998E-2</v>
      </c>
      <c r="Y30">
        <f>VLOOKUP(E30,Sheet5!O:P,2,0)</f>
        <v>5.2499999999999998E-2</v>
      </c>
      <c r="Z30" s="73" t="str">
        <f t="shared" si="1"/>
        <v>佳木斯宏满佳</v>
      </c>
      <c r="AA30" s="71">
        <f t="shared" si="5"/>
        <v>150</v>
      </c>
      <c r="AB30" s="71">
        <f t="shared" si="6"/>
        <v>313</v>
      </c>
      <c r="AC30" s="71">
        <f t="shared" si="7"/>
        <v>170</v>
      </c>
      <c r="AD30">
        <f t="shared" si="8"/>
        <v>-0.21052631578947367</v>
      </c>
      <c r="AE30">
        <f t="shared" si="9"/>
        <v>0.27755102040816326</v>
      </c>
      <c r="AF30">
        <f t="shared" si="10"/>
        <v>9.6774193548387233E-2</v>
      </c>
      <c r="AG30" s="71">
        <f t="shared" si="11"/>
        <v>52.5</v>
      </c>
      <c r="AH30" s="71">
        <f t="shared" si="12"/>
        <v>200</v>
      </c>
      <c r="AI30">
        <f t="shared" si="13"/>
        <v>-0.73750000000000004</v>
      </c>
      <c r="AJ30">
        <f t="shared" si="14"/>
        <v>52.5</v>
      </c>
      <c r="AK30">
        <f t="shared" si="15"/>
        <v>1</v>
      </c>
      <c r="AL30" s="73" t="str">
        <f t="shared" si="16"/>
        <v>佳木斯宏满佳</v>
      </c>
      <c r="AM30" s="73" t="str">
        <f t="shared" si="17"/>
        <v>佳木斯城区所</v>
      </c>
    </row>
    <row r="31" spans="1:39" ht="15" thickBot="1" x14ac:dyDescent="0.25">
      <c r="A31" s="132">
        <f t="shared" si="18"/>
        <v>31</v>
      </c>
      <c r="B31" s="3" t="s">
        <v>12</v>
      </c>
      <c r="C31" s="3" t="s">
        <v>16</v>
      </c>
      <c r="D31" s="3" t="s">
        <v>73</v>
      </c>
      <c r="E31" s="3" t="s">
        <v>103</v>
      </c>
      <c r="F31" s="5">
        <v>0.24</v>
      </c>
      <c r="G31" s="5">
        <v>0.35</v>
      </c>
      <c r="H31" s="5">
        <v>0.27300000000000002</v>
      </c>
      <c r="I31" s="5">
        <v>0.23200000000000001</v>
      </c>
      <c r="J31" s="5">
        <v>0.37</v>
      </c>
      <c r="K31" s="5">
        <v>0.41499999999999998</v>
      </c>
      <c r="L31" s="5">
        <v>0.5</v>
      </c>
      <c r="M31" s="5">
        <v>0.24099999999999999</v>
      </c>
      <c r="N31" s="5">
        <v>0.11</v>
      </c>
      <c r="O31" s="5">
        <v>0.311</v>
      </c>
      <c r="P31" s="5">
        <v>0.4</v>
      </c>
      <c r="Q31" s="5">
        <v>0.307</v>
      </c>
      <c r="R31" s="5">
        <v>0.24</v>
      </c>
      <c r="S31" s="5">
        <v>0.245</v>
      </c>
      <c r="T31" s="5">
        <v>0.23899999999999999</v>
      </c>
      <c r="U31" s="5">
        <v>0.21</v>
      </c>
      <c r="V31" s="129">
        <v>0.36499999999999999</v>
      </c>
      <c r="W31" s="129">
        <v>0.19</v>
      </c>
      <c r="X31" s="129">
        <f>VLOOKUP(E31,Sheet5!$O:$Q,2,0)</f>
        <v>8.1250000000000003E-2</v>
      </c>
      <c r="Y31">
        <f>VLOOKUP(E31,Sheet5!O:P,2,0)</f>
        <v>8.1250000000000003E-2</v>
      </c>
      <c r="Z31" s="73" t="str">
        <f t="shared" si="1"/>
        <v>宁安铭达</v>
      </c>
      <c r="AA31" s="71">
        <f t="shared" si="5"/>
        <v>210</v>
      </c>
      <c r="AB31" s="71">
        <f t="shared" si="6"/>
        <v>365</v>
      </c>
      <c r="AC31" s="71">
        <f t="shared" si="7"/>
        <v>190</v>
      </c>
      <c r="AD31">
        <f t="shared" si="8"/>
        <v>-9.4827586206896686E-2</v>
      </c>
      <c r="AE31">
        <f t="shared" si="9"/>
        <v>-1.3513513513513487E-2</v>
      </c>
      <c r="AF31">
        <f t="shared" si="10"/>
        <v>-0.54216867469879515</v>
      </c>
      <c r="AG31" s="71">
        <f t="shared" si="11"/>
        <v>81.25</v>
      </c>
      <c r="AH31" s="71">
        <f t="shared" si="12"/>
        <v>500</v>
      </c>
      <c r="AI31">
        <f t="shared" si="13"/>
        <v>-0.83750000000000002</v>
      </c>
      <c r="AJ31">
        <f t="shared" si="14"/>
        <v>81.25</v>
      </c>
      <c r="AK31">
        <f t="shared" si="15"/>
        <v>1</v>
      </c>
      <c r="AL31" s="73" t="str">
        <f t="shared" si="16"/>
        <v>宁安铭达</v>
      </c>
      <c r="AM31" s="73" t="str">
        <f t="shared" si="17"/>
        <v>牡丹江城区所</v>
      </c>
    </row>
    <row r="32" spans="1:39" ht="15" thickBot="1" x14ac:dyDescent="0.25">
      <c r="A32" s="132">
        <f t="shared" si="18"/>
        <v>1</v>
      </c>
      <c r="B32" s="3" t="s">
        <v>12</v>
      </c>
      <c r="C32" s="3" t="s">
        <v>16</v>
      </c>
      <c r="D32" s="3" t="s">
        <v>75</v>
      </c>
      <c r="E32" s="3" t="s">
        <v>104</v>
      </c>
      <c r="F32" s="4">
        <v>0.312</v>
      </c>
      <c r="G32" s="4">
        <v>0.152</v>
      </c>
      <c r="H32" s="4">
        <v>0.25</v>
      </c>
      <c r="I32" s="4">
        <v>0.23499999999999999</v>
      </c>
      <c r="J32" s="4">
        <v>0.315</v>
      </c>
      <c r="K32" s="4">
        <v>0.16200000000000001</v>
      </c>
      <c r="L32" s="4">
        <v>0.2</v>
      </c>
      <c r="M32" s="4">
        <v>0.2</v>
      </c>
      <c r="N32" s="4">
        <v>0.127</v>
      </c>
      <c r="O32" s="4">
        <v>0.37</v>
      </c>
      <c r="P32" s="4">
        <v>0.28899999999999998</v>
      </c>
      <c r="Q32" s="4">
        <v>0.17</v>
      </c>
      <c r="R32" s="4">
        <v>0.312</v>
      </c>
      <c r="S32" s="4">
        <v>0.193</v>
      </c>
      <c r="T32" s="4">
        <v>0.14099999999999999</v>
      </c>
      <c r="U32" s="4">
        <v>0.122</v>
      </c>
      <c r="V32" s="128">
        <v>0.31</v>
      </c>
      <c r="W32" s="128">
        <v>0.21</v>
      </c>
      <c r="X32" s="128">
        <f>VLOOKUP(E32,Sheet5!$O:$Q,2,0)</f>
        <v>0.625</v>
      </c>
      <c r="Y32">
        <f>VLOOKUP(E32,Sheet5!O:P,2,0)</f>
        <v>0.625</v>
      </c>
      <c r="Z32" s="73" t="str">
        <f t="shared" si="1"/>
        <v>东宁绿和</v>
      </c>
      <c r="AA32" s="71">
        <f t="shared" si="5"/>
        <v>122</v>
      </c>
      <c r="AB32" s="71">
        <f t="shared" si="6"/>
        <v>310</v>
      </c>
      <c r="AC32" s="71">
        <f t="shared" si="7"/>
        <v>210</v>
      </c>
      <c r="AD32">
        <f t="shared" si="8"/>
        <v>-0.48085106382978726</v>
      </c>
      <c r="AE32">
        <f t="shared" si="9"/>
        <v>-1.5873015873015928E-2</v>
      </c>
      <c r="AF32">
        <f t="shared" si="10"/>
        <v>0.29629629629629628</v>
      </c>
      <c r="AG32" s="71">
        <f t="shared" si="11"/>
        <v>625</v>
      </c>
      <c r="AH32" s="71">
        <f t="shared" si="12"/>
        <v>200</v>
      </c>
      <c r="AI32">
        <f t="shared" si="13"/>
        <v>2.125</v>
      </c>
      <c r="AJ32">
        <f t="shared" si="14"/>
        <v>625</v>
      </c>
      <c r="AK32">
        <f t="shared" si="15"/>
        <v>1</v>
      </c>
      <c r="AL32" s="73" t="str">
        <f t="shared" si="16"/>
        <v>东宁绿和</v>
      </c>
      <c r="AM32" s="73" t="str">
        <f t="shared" si="17"/>
        <v>牡丹江城区所</v>
      </c>
    </row>
    <row r="33" spans="1:39" ht="15" thickBot="1" x14ac:dyDescent="0.25">
      <c r="A33" s="132">
        <f t="shared" si="18"/>
        <v>4</v>
      </c>
      <c r="B33" s="3" t="s">
        <v>12</v>
      </c>
      <c r="C33" s="3" t="s">
        <v>16</v>
      </c>
      <c r="D33" s="3" t="s">
        <v>75</v>
      </c>
      <c r="E33" s="3" t="s">
        <v>105</v>
      </c>
      <c r="F33" s="5">
        <v>0.48</v>
      </c>
      <c r="G33" s="5">
        <v>0.122</v>
      </c>
      <c r="H33" s="5">
        <v>0.13700000000000001</v>
      </c>
      <c r="I33" s="5">
        <v>0.28999999999999998</v>
      </c>
      <c r="J33" s="5">
        <v>0.251</v>
      </c>
      <c r="K33" s="5">
        <v>0.153</v>
      </c>
      <c r="L33" s="5">
        <v>0.2</v>
      </c>
      <c r="M33" s="5">
        <v>0.2</v>
      </c>
      <c r="N33" s="5">
        <v>0.2</v>
      </c>
      <c r="O33" s="5">
        <v>0.27</v>
      </c>
      <c r="P33" s="5">
        <v>0.14000000000000001</v>
      </c>
      <c r="Q33" s="5">
        <v>0.51600000000000001</v>
      </c>
      <c r="R33" s="5">
        <v>0.47799999999999998</v>
      </c>
      <c r="S33" s="5">
        <v>0.23400000000000001</v>
      </c>
      <c r="T33" s="5">
        <v>0.14000000000000001</v>
      </c>
      <c r="U33" s="5">
        <v>0.27200000000000002</v>
      </c>
      <c r="V33" s="129">
        <v>0.245</v>
      </c>
      <c r="W33" s="129">
        <v>0.1</v>
      </c>
      <c r="X33" s="129">
        <f>VLOOKUP(E33,Sheet5!$O:$Q,2,0)</f>
        <v>0.31374999999999997</v>
      </c>
      <c r="Y33">
        <f>VLOOKUP(E33,Sheet5!O:P,2,0)</f>
        <v>0.31374999999999997</v>
      </c>
      <c r="Z33" s="73" t="str">
        <f t="shared" si="1"/>
        <v>绥芬万泽</v>
      </c>
      <c r="AA33" s="71">
        <f t="shared" si="5"/>
        <v>272</v>
      </c>
      <c r="AB33" s="71">
        <f t="shared" si="6"/>
        <v>245</v>
      </c>
      <c r="AC33" s="71">
        <f t="shared" si="7"/>
        <v>100</v>
      </c>
      <c r="AD33">
        <f t="shared" si="8"/>
        <v>-6.2068965517241281E-2</v>
      </c>
      <c r="AE33">
        <f t="shared" si="9"/>
        <v>-2.3904382470119501E-2</v>
      </c>
      <c r="AF33">
        <f t="shared" si="10"/>
        <v>-0.34640522875816993</v>
      </c>
      <c r="AG33" s="71">
        <f t="shared" si="11"/>
        <v>313.75</v>
      </c>
      <c r="AH33" s="71">
        <f t="shared" si="12"/>
        <v>200</v>
      </c>
      <c r="AI33">
        <f t="shared" si="13"/>
        <v>0.56875000000000009</v>
      </c>
      <c r="AJ33">
        <f t="shared" si="14"/>
        <v>313.75</v>
      </c>
      <c r="AK33">
        <f t="shared" si="15"/>
        <v>1</v>
      </c>
      <c r="AL33" s="73" t="str">
        <f t="shared" si="16"/>
        <v>绥芬万泽</v>
      </c>
      <c r="AM33" s="73" t="str">
        <f t="shared" si="17"/>
        <v>牡丹江城区所</v>
      </c>
    </row>
    <row r="34" spans="1:39" ht="15" thickBot="1" x14ac:dyDescent="0.25">
      <c r="A34" s="132">
        <f t="shared" si="18"/>
        <v>12</v>
      </c>
      <c r="B34" s="3" t="s">
        <v>12</v>
      </c>
      <c r="C34" s="3" t="s">
        <v>16</v>
      </c>
      <c r="D34" s="3" t="s">
        <v>75</v>
      </c>
      <c r="E34" s="3" t="s">
        <v>106</v>
      </c>
      <c r="F34" s="4">
        <v>0.24</v>
      </c>
      <c r="G34" s="4">
        <v>0.153</v>
      </c>
      <c r="H34" s="4">
        <v>0.14099999999999999</v>
      </c>
      <c r="I34" s="4">
        <v>0.13500000000000001</v>
      </c>
      <c r="J34" s="4">
        <v>0.2</v>
      </c>
      <c r="K34" s="4">
        <v>0.16600000000000001</v>
      </c>
      <c r="L34" s="4">
        <v>0.20399999999999999</v>
      </c>
      <c r="M34" s="4">
        <v>0.155</v>
      </c>
      <c r="N34" s="4">
        <v>0.10199999999999999</v>
      </c>
      <c r="O34" s="4">
        <v>0.25800000000000001</v>
      </c>
      <c r="P34" s="4">
        <v>0.20200000000000001</v>
      </c>
      <c r="Q34" s="4">
        <v>0.307</v>
      </c>
      <c r="R34" s="4">
        <v>0.24</v>
      </c>
      <c r="S34" s="4">
        <v>0.16800000000000001</v>
      </c>
      <c r="T34" s="4">
        <v>0.123</v>
      </c>
      <c r="U34" s="4">
        <v>0.122</v>
      </c>
      <c r="V34" s="128">
        <v>0.19500000000000001</v>
      </c>
      <c r="W34" s="128">
        <v>0.20499999999999999</v>
      </c>
      <c r="X34" s="128">
        <f>VLOOKUP(E34,Sheet5!$O:$Q,2,0)</f>
        <v>0.24249999999999999</v>
      </c>
      <c r="Y34">
        <f>VLOOKUP(E34,Sheet5!O:P,2,0)</f>
        <v>0.24249999999999999</v>
      </c>
      <c r="Z34" s="73" t="str">
        <f t="shared" si="1"/>
        <v>海林黑土</v>
      </c>
      <c r="AA34" s="71">
        <f t="shared" si="5"/>
        <v>122</v>
      </c>
      <c r="AB34" s="71">
        <f t="shared" si="6"/>
        <v>195</v>
      </c>
      <c r="AC34" s="71">
        <f t="shared" si="7"/>
        <v>205</v>
      </c>
      <c r="AD34">
        <f t="shared" si="8"/>
        <v>-9.6296296296296324E-2</v>
      </c>
      <c r="AE34">
        <f t="shared" si="9"/>
        <v>-2.5000000000000022E-2</v>
      </c>
      <c r="AF34">
        <f t="shared" si="10"/>
        <v>0.23493975903614439</v>
      </c>
      <c r="AG34" s="71">
        <f t="shared" si="11"/>
        <v>242.5</v>
      </c>
      <c r="AH34" s="71">
        <f t="shared" si="12"/>
        <v>204</v>
      </c>
      <c r="AI34">
        <f t="shared" si="13"/>
        <v>0.18872549019607843</v>
      </c>
      <c r="AJ34">
        <f t="shared" si="14"/>
        <v>242.5</v>
      </c>
      <c r="AK34">
        <f t="shared" si="15"/>
        <v>1</v>
      </c>
      <c r="AL34" s="73" t="str">
        <f t="shared" si="16"/>
        <v>海林黑土</v>
      </c>
      <c r="AM34" s="73" t="str">
        <f t="shared" si="17"/>
        <v>牡丹江城区所</v>
      </c>
    </row>
    <row r="35" spans="1:39" ht="15" thickBot="1" x14ac:dyDescent="0.25">
      <c r="A35" s="132">
        <f t="shared" si="18"/>
        <v>6</v>
      </c>
      <c r="B35" s="3" t="s">
        <v>12</v>
      </c>
      <c r="C35" s="3" t="s">
        <v>16</v>
      </c>
      <c r="D35" s="3" t="s">
        <v>84</v>
      </c>
      <c r="E35" s="3" t="s">
        <v>107</v>
      </c>
      <c r="F35" s="5">
        <v>0.39100000000000001</v>
      </c>
      <c r="G35" s="5">
        <v>0.376</v>
      </c>
      <c r="H35" s="5">
        <v>0.48599999999999999</v>
      </c>
      <c r="I35" s="5">
        <v>0.34599999999999997</v>
      </c>
      <c r="J35" s="5">
        <v>0.36399999999999999</v>
      </c>
      <c r="K35" s="5">
        <v>0.72699999999999998</v>
      </c>
      <c r="L35" s="5">
        <v>0.5</v>
      </c>
      <c r="M35" s="5">
        <v>0.47499999999999998</v>
      </c>
      <c r="N35" s="5">
        <v>0.45600000000000002</v>
      </c>
      <c r="O35" s="5">
        <v>0.52</v>
      </c>
      <c r="P35" s="5">
        <v>0.379</v>
      </c>
      <c r="Q35" s="5">
        <v>0.37</v>
      </c>
      <c r="R35" s="5">
        <v>0.39300000000000002</v>
      </c>
      <c r="S35" s="5">
        <v>0.42099999999999999</v>
      </c>
      <c r="T35" s="5">
        <v>0.49299999999999999</v>
      </c>
      <c r="U35" s="5">
        <v>0.56999999999999995</v>
      </c>
      <c r="V35" s="129">
        <v>0.56000000000000005</v>
      </c>
      <c r="W35" s="129">
        <v>0.81699999999999995</v>
      </c>
      <c r="X35" s="129">
        <f>VLOOKUP(E35,Sheet5!$O:$Q,2,0)</f>
        <v>0.72124999999999995</v>
      </c>
      <c r="Y35">
        <f>VLOOKUP(E35,Sheet5!O:P,2,0)</f>
        <v>0.72124999999999995</v>
      </c>
      <c r="Z35" s="73" t="str">
        <f t="shared" si="1"/>
        <v>牡市辉煌</v>
      </c>
      <c r="AA35" s="71">
        <f t="shared" si="5"/>
        <v>570</v>
      </c>
      <c r="AB35" s="71">
        <f t="shared" si="6"/>
        <v>560</v>
      </c>
      <c r="AC35" s="71">
        <f t="shared" si="7"/>
        <v>817</v>
      </c>
      <c r="AD35">
        <f t="shared" si="8"/>
        <v>0.64739884393063574</v>
      </c>
      <c r="AE35">
        <f t="shared" si="9"/>
        <v>0.53846153846153855</v>
      </c>
      <c r="AF35">
        <f t="shared" si="10"/>
        <v>0.123796423658872</v>
      </c>
      <c r="AG35" s="71">
        <f t="shared" si="11"/>
        <v>721.25</v>
      </c>
      <c r="AH35" s="71">
        <f t="shared" si="12"/>
        <v>500</v>
      </c>
      <c r="AI35">
        <f t="shared" si="13"/>
        <v>0.44249999999999989</v>
      </c>
      <c r="AJ35">
        <f t="shared" si="14"/>
        <v>721.25</v>
      </c>
      <c r="AK35">
        <f t="shared" si="15"/>
        <v>1</v>
      </c>
      <c r="AL35" s="73" t="str">
        <f t="shared" si="16"/>
        <v>牡市辉煌</v>
      </c>
      <c r="AM35" s="73" t="str">
        <f t="shared" si="17"/>
        <v>牡丹江城区所</v>
      </c>
    </row>
    <row r="36" spans="1:39" ht="15" thickBot="1" x14ac:dyDescent="0.25">
      <c r="A36" s="132">
        <f t="shared" si="18"/>
        <v>27</v>
      </c>
      <c r="B36" s="3" t="s">
        <v>12</v>
      </c>
      <c r="C36" s="3" t="s">
        <v>16</v>
      </c>
      <c r="D36" s="3" t="s">
        <v>84</v>
      </c>
      <c r="E36" s="3" t="s">
        <v>108</v>
      </c>
      <c r="F36" s="4">
        <v>0.34699999999999998</v>
      </c>
      <c r="G36" s="4">
        <v>5.1999999999999998E-2</v>
      </c>
      <c r="H36" s="4">
        <v>0.19400000000000001</v>
      </c>
      <c r="I36" s="4">
        <v>0.40600000000000003</v>
      </c>
      <c r="J36" s="4">
        <v>0.57899999999999996</v>
      </c>
      <c r="K36" s="4">
        <v>0.17399999999999999</v>
      </c>
      <c r="L36" s="4">
        <v>0.65400000000000003</v>
      </c>
      <c r="M36" s="4">
        <v>0.49099999999999999</v>
      </c>
      <c r="N36" s="4">
        <v>0.26500000000000001</v>
      </c>
      <c r="O36" s="4">
        <v>0.312</v>
      </c>
      <c r="P36" s="4">
        <v>0.30099999999999999</v>
      </c>
      <c r="Q36" s="4">
        <v>0.158</v>
      </c>
      <c r="R36" s="4">
        <v>0.34699999999999998</v>
      </c>
      <c r="S36" s="4">
        <v>0.06</v>
      </c>
      <c r="T36" s="4">
        <v>0.13600000000000001</v>
      </c>
      <c r="U36" s="4">
        <v>0.22800000000000001</v>
      </c>
      <c r="V36" s="128">
        <v>0.23799999999999999</v>
      </c>
      <c r="W36" s="128">
        <v>0.15</v>
      </c>
      <c r="X36" s="128">
        <f>VLOOKUP(E36,Sheet5!$O:$Q,2,0)</f>
        <v>0.20624999999999999</v>
      </c>
      <c r="Y36">
        <f>VLOOKUP(E36,Sheet5!O:P,2,0)</f>
        <v>0.20624999999999999</v>
      </c>
      <c r="Z36" s="73" t="str">
        <f t="shared" si="1"/>
        <v>牡市圣言</v>
      </c>
      <c r="AA36" s="71">
        <f t="shared" si="5"/>
        <v>228</v>
      </c>
      <c r="AB36" s="71">
        <f t="shared" si="6"/>
        <v>238</v>
      </c>
      <c r="AC36" s="71">
        <f t="shared" si="7"/>
        <v>150</v>
      </c>
      <c r="AD36">
        <f t="shared" si="8"/>
        <v>-0.43842364532019706</v>
      </c>
      <c r="AE36">
        <f t="shared" si="9"/>
        <v>-0.58894645941278068</v>
      </c>
      <c r="AF36">
        <f t="shared" si="10"/>
        <v>-0.13793103448275856</v>
      </c>
      <c r="AG36" s="71">
        <f t="shared" si="11"/>
        <v>206.25</v>
      </c>
      <c r="AH36" s="71">
        <f t="shared" si="12"/>
        <v>654</v>
      </c>
      <c r="AI36">
        <f t="shared" si="13"/>
        <v>-0.68463302752293576</v>
      </c>
      <c r="AJ36">
        <f t="shared" si="14"/>
        <v>206.25</v>
      </c>
      <c r="AK36">
        <f t="shared" si="15"/>
        <v>1</v>
      </c>
      <c r="AL36" s="73" t="str">
        <f t="shared" si="16"/>
        <v>牡市圣言</v>
      </c>
      <c r="AM36" s="73" t="str">
        <f t="shared" si="17"/>
        <v>牡丹江城区所</v>
      </c>
    </row>
    <row r="37" spans="1:39" ht="15" thickBot="1" x14ac:dyDescent="0.25">
      <c r="A37" s="132">
        <f t="shared" si="18"/>
        <v>5</v>
      </c>
      <c r="B37" s="3" t="s">
        <v>12</v>
      </c>
      <c r="C37" s="3" t="s">
        <v>17</v>
      </c>
      <c r="D37" s="3" t="s">
        <v>75</v>
      </c>
      <c r="E37" s="3" t="s">
        <v>109</v>
      </c>
      <c r="F37" s="5">
        <v>0.26800000000000002</v>
      </c>
      <c r="G37" s="5">
        <v>0.12</v>
      </c>
      <c r="H37" s="5">
        <v>0.35499999999999998</v>
      </c>
      <c r="I37" s="5">
        <v>0.28199999999999997</v>
      </c>
      <c r="J37" s="5">
        <v>0.245</v>
      </c>
      <c r="K37" s="5">
        <v>0.12</v>
      </c>
      <c r="L37" s="5">
        <v>0.2</v>
      </c>
      <c r="M37" s="5">
        <v>0.187</v>
      </c>
      <c r="N37" s="5">
        <v>0.27200000000000002</v>
      </c>
      <c r="O37" s="5">
        <v>0.38</v>
      </c>
      <c r="P37" s="5">
        <v>0.217</v>
      </c>
      <c r="Q37" s="5">
        <v>0.27700000000000002</v>
      </c>
      <c r="R37" s="5">
        <v>0.26800000000000002</v>
      </c>
      <c r="S37" s="5">
        <v>0.13200000000000001</v>
      </c>
      <c r="T37" s="5">
        <v>0.24</v>
      </c>
      <c r="U37" s="5">
        <v>0.255</v>
      </c>
      <c r="V37" s="129">
        <v>0.24</v>
      </c>
      <c r="W37" s="129">
        <v>0.18</v>
      </c>
      <c r="X37" s="129">
        <f>VLOOKUP(E37,Sheet5!$O:$Q,2,0)</f>
        <v>0.30249999999999999</v>
      </c>
      <c r="Y37">
        <f>VLOOKUP(E37,Sheet5!O:P,2,0)</f>
        <v>0.30249999999999999</v>
      </c>
      <c r="Z37" s="73" t="str">
        <f t="shared" ref="Z37:Z68" si="19">E37</f>
        <v>穆棱国旺</v>
      </c>
      <c r="AA37" s="71">
        <f t="shared" si="5"/>
        <v>255</v>
      </c>
      <c r="AB37" s="71">
        <f t="shared" si="6"/>
        <v>240</v>
      </c>
      <c r="AC37" s="71">
        <f t="shared" si="7"/>
        <v>180</v>
      </c>
      <c r="AD37">
        <f t="shared" si="8"/>
        <v>-9.574468085106369E-2</v>
      </c>
      <c r="AE37">
        <f t="shared" si="9"/>
        <v>-2.0408163265306145E-2</v>
      </c>
      <c r="AF37">
        <f t="shared" si="10"/>
        <v>0.5</v>
      </c>
      <c r="AG37" s="71">
        <f t="shared" si="11"/>
        <v>302.5</v>
      </c>
      <c r="AH37" s="71">
        <f t="shared" si="12"/>
        <v>200</v>
      </c>
      <c r="AI37">
        <f t="shared" si="13"/>
        <v>0.51249999999999996</v>
      </c>
      <c r="AJ37">
        <f t="shared" si="14"/>
        <v>302.5</v>
      </c>
      <c r="AK37">
        <f t="shared" si="15"/>
        <v>1</v>
      </c>
      <c r="AL37" s="73" t="str">
        <f t="shared" si="16"/>
        <v>穆棱国旺</v>
      </c>
      <c r="AM37" s="73" t="str">
        <f t="shared" si="17"/>
        <v>七台河外埠所</v>
      </c>
    </row>
    <row r="38" spans="1:39" ht="15" thickBot="1" x14ac:dyDescent="0.25">
      <c r="A38" s="132">
        <f t="shared" si="18"/>
        <v>28</v>
      </c>
      <c r="B38" s="3" t="s">
        <v>12</v>
      </c>
      <c r="C38" s="3" t="s">
        <v>17</v>
      </c>
      <c r="D38" s="3" t="s">
        <v>75</v>
      </c>
      <c r="E38" s="3" t="s">
        <v>219</v>
      </c>
      <c r="F38" s="4">
        <v>0.18</v>
      </c>
      <c r="G38" s="4">
        <v>8.0000000000000002E-3</v>
      </c>
      <c r="H38" s="4">
        <v>0.13</v>
      </c>
      <c r="I38" s="4">
        <v>0.16</v>
      </c>
      <c r="J38" s="4">
        <v>0.27200000000000002</v>
      </c>
      <c r="K38" s="4">
        <v>0.16</v>
      </c>
      <c r="L38" s="4">
        <v>0.2</v>
      </c>
      <c r="M38" s="4">
        <v>0.192</v>
      </c>
      <c r="N38" s="4">
        <v>0.13700000000000001</v>
      </c>
      <c r="O38" s="4">
        <v>0.20499999999999999</v>
      </c>
      <c r="P38" s="4">
        <v>0.25700000000000001</v>
      </c>
      <c r="Q38" s="4">
        <v>0.21</v>
      </c>
      <c r="R38" s="4">
        <v>0.18</v>
      </c>
      <c r="S38" s="4">
        <v>0.187</v>
      </c>
      <c r="T38" s="4">
        <v>0.13200000000000001</v>
      </c>
      <c r="U38" s="4">
        <v>0.192</v>
      </c>
      <c r="V38" s="128">
        <v>0.26500000000000001</v>
      </c>
      <c r="W38" s="128">
        <v>0.16900000000000001</v>
      </c>
      <c r="X38" s="128">
        <f>VLOOKUP(E38,Sheet5!$O:$Q,2,0)</f>
        <v>6.25E-2</v>
      </c>
      <c r="Y38">
        <f>VLOOKUP(E38,Sheet5!O:P,2,0)</f>
        <v>6.25E-2</v>
      </c>
      <c r="Z38" s="73" t="str">
        <f t="shared" si="19"/>
        <v>桦川润盈</v>
      </c>
      <c r="AA38" s="71">
        <f t="shared" si="5"/>
        <v>192</v>
      </c>
      <c r="AB38" s="71">
        <f t="shared" si="6"/>
        <v>265</v>
      </c>
      <c r="AC38" s="71">
        <f t="shared" si="7"/>
        <v>169</v>
      </c>
      <c r="AD38">
        <f t="shared" si="8"/>
        <v>0.19999999999999996</v>
      </c>
      <c r="AE38">
        <f t="shared" si="9"/>
        <v>-2.5735294117647078E-2</v>
      </c>
      <c r="AF38">
        <f t="shared" si="10"/>
        <v>5.6250000000000133E-2</v>
      </c>
      <c r="AG38" s="71">
        <f t="shared" si="11"/>
        <v>62.5</v>
      </c>
      <c r="AH38" s="71">
        <f t="shared" si="12"/>
        <v>200</v>
      </c>
      <c r="AI38">
        <f t="shared" si="13"/>
        <v>-0.6875</v>
      </c>
      <c r="AJ38">
        <f t="shared" si="14"/>
        <v>62.5</v>
      </c>
      <c r="AK38">
        <f t="shared" si="15"/>
        <v>1</v>
      </c>
      <c r="AL38" s="73" t="str">
        <f t="shared" si="16"/>
        <v>桦川润盈</v>
      </c>
      <c r="AM38" s="73" t="str">
        <f t="shared" si="17"/>
        <v>七台河外埠所</v>
      </c>
    </row>
    <row r="39" spans="1:39" ht="15" thickBot="1" x14ac:dyDescent="0.25">
      <c r="A39" s="132">
        <f t="shared" si="18"/>
        <v>10</v>
      </c>
      <c r="B39" s="3" t="s">
        <v>12</v>
      </c>
      <c r="C39" s="3" t="s">
        <v>17</v>
      </c>
      <c r="D39" s="3" t="s">
        <v>75</v>
      </c>
      <c r="E39" s="3" t="s">
        <v>111</v>
      </c>
      <c r="F39" s="5">
        <v>0.18</v>
      </c>
      <c r="G39" s="5">
        <v>0.18</v>
      </c>
      <c r="H39" s="5">
        <v>0.16900000000000001</v>
      </c>
      <c r="I39" s="5">
        <v>0.193</v>
      </c>
      <c r="J39" s="5">
        <v>0.28499999999999998</v>
      </c>
      <c r="K39" s="5">
        <v>0.2</v>
      </c>
      <c r="L39" s="5">
        <v>0.20499999999999999</v>
      </c>
      <c r="M39" s="5">
        <v>0.24</v>
      </c>
      <c r="N39" s="5">
        <v>0.17499999999999999</v>
      </c>
      <c r="O39" s="5">
        <v>0.22500000000000001</v>
      </c>
      <c r="P39" s="5">
        <v>0.27500000000000002</v>
      </c>
      <c r="Q39" s="5">
        <v>0.221</v>
      </c>
      <c r="R39" s="5">
        <v>0.18</v>
      </c>
      <c r="S39" s="5">
        <v>0.19800000000000001</v>
      </c>
      <c r="T39" s="5">
        <v>0.14899999999999999</v>
      </c>
      <c r="U39" s="5">
        <v>0.17499999999999999</v>
      </c>
      <c r="V39" s="129">
        <v>0.28000000000000003</v>
      </c>
      <c r="W39" s="129">
        <v>0.21199999999999999</v>
      </c>
      <c r="X39" s="129">
        <f>VLOOKUP(E39,Sheet5!$O:$Q,2,0)</f>
        <v>0.27</v>
      </c>
      <c r="Y39">
        <f>VLOOKUP(E39,Sheet5!O:P,2,0)</f>
        <v>0.27</v>
      </c>
      <c r="Z39" s="73" t="str">
        <f t="shared" si="19"/>
        <v>桦南方华</v>
      </c>
      <c r="AA39" s="71">
        <f t="shared" si="5"/>
        <v>175</v>
      </c>
      <c r="AB39" s="71">
        <f t="shared" si="6"/>
        <v>280</v>
      </c>
      <c r="AC39" s="71">
        <f t="shared" si="7"/>
        <v>212</v>
      </c>
      <c r="AD39">
        <f t="shared" si="8"/>
        <v>-9.3264248704663322E-2</v>
      </c>
      <c r="AE39">
        <f t="shared" si="9"/>
        <v>-1.754385964912264E-2</v>
      </c>
      <c r="AF39">
        <f t="shared" si="10"/>
        <v>5.9999999999999831E-2</v>
      </c>
      <c r="AG39" s="71">
        <f t="shared" si="11"/>
        <v>270</v>
      </c>
      <c r="AH39" s="71">
        <f t="shared" si="12"/>
        <v>205</v>
      </c>
      <c r="AI39">
        <f t="shared" si="13"/>
        <v>0.31707317073170738</v>
      </c>
      <c r="AJ39">
        <f t="shared" si="14"/>
        <v>270</v>
      </c>
      <c r="AK39">
        <f t="shared" si="15"/>
        <v>1</v>
      </c>
      <c r="AL39" s="73" t="str">
        <f t="shared" si="16"/>
        <v>桦南方华</v>
      </c>
      <c r="AM39" s="73" t="str">
        <f t="shared" si="17"/>
        <v>七台河外埠所</v>
      </c>
    </row>
    <row r="40" spans="1:39" ht="15" thickBot="1" x14ac:dyDescent="0.25">
      <c r="A40" s="132">
        <f t="shared" si="18"/>
        <v>15</v>
      </c>
      <c r="B40" s="3" t="s">
        <v>12</v>
      </c>
      <c r="C40" s="3" t="s">
        <v>17</v>
      </c>
      <c r="D40" s="3" t="s">
        <v>75</v>
      </c>
      <c r="E40" s="3" t="s">
        <v>213</v>
      </c>
      <c r="F40" s="4">
        <v>0.18</v>
      </c>
      <c r="G40" s="4">
        <v>0.18</v>
      </c>
      <c r="H40" s="4">
        <v>0.19</v>
      </c>
      <c r="I40" s="4">
        <v>0.16400000000000001</v>
      </c>
      <c r="J40" s="4">
        <v>0.3</v>
      </c>
      <c r="K40" s="4">
        <v>0.16</v>
      </c>
      <c r="L40" s="4">
        <v>0.2</v>
      </c>
      <c r="M40" s="4">
        <v>0.26600000000000001</v>
      </c>
      <c r="N40" s="4">
        <v>0.14499999999999999</v>
      </c>
      <c r="O40" s="4">
        <v>0.29499999999999998</v>
      </c>
      <c r="P40" s="4">
        <v>0.315</v>
      </c>
      <c r="Q40" s="4">
        <v>0.18</v>
      </c>
      <c r="R40" s="4">
        <v>0.18</v>
      </c>
      <c r="S40" s="4">
        <v>0.17</v>
      </c>
      <c r="T40" s="4">
        <v>0.14000000000000001</v>
      </c>
      <c r="U40" s="4">
        <v>0.14000000000000001</v>
      </c>
      <c r="V40" s="128">
        <v>0.29199999999999998</v>
      </c>
      <c r="W40" s="128">
        <v>7.6999999999999999E-2</v>
      </c>
      <c r="X40" s="128">
        <f>VLOOKUP(E40,Sheet5!$O:$Q,2,0)</f>
        <v>0.21249999999999999</v>
      </c>
      <c r="Y40">
        <f>VLOOKUP(E40,Sheet5!O:P,2,0)</f>
        <v>0.21249999999999999</v>
      </c>
      <c r="Z40" s="73" t="str">
        <f t="shared" si="19"/>
        <v>依兰仁广</v>
      </c>
      <c r="AA40" s="71">
        <f t="shared" si="5"/>
        <v>140</v>
      </c>
      <c r="AB40" s="71">
        <f t="shared" si="6"/>
        <v>292</v>
      </c>
      <c r="AC40" s="71">
        <f t="shared" si="7"/>
        <v>77</v>
      </c>
      <c r="AD40">
        <f t="shared" si="8"/>
        <v>-0.14634146341463405</v>
      </c>
      <c r="AE40">
        <f t="shared" si="9"/>
        <v>-2.6666666666666727E-2</v>
      </c>
      <c r="AF40">
        <f t="shared" si="10"/>
        <v>-0.51875000000000004</v>
      </c>
      <c r="AG40" s="71">
        <f t="shared" si="11"/>
        <v>212.5</v>
      </c>
      <c r="AH40" s="71">
        <f t="shared" si="12"/>
        <v>200</v>
      </c>
      <c r="AI40">
        <f t="shared" si="13"/>
        <v>6.25E-2</v>
      </c>
      <c r="AJ40">
        <f t="shared" si="14"/>
        <v>212.5</v>
      </c>
      <c r="AK40">
        <f t="shared" si="15"/>
        <v>1</v>
      </c>
      <c r="AL40" s="73" t="str">
        <f t="shared" si="16"/>
        <v>依兰仁广</v>
      </c>
      <c r="AM40" s="73" t="str">
        <f t="shared" si="17"/>
        <v>七台河外埠所</v>
      </c>
    </row>
    <row r="41" spans="1:39" ht="15" thickBot="1" x14ac:dyDescent="0.25">
      <c r="A41" s="132">
        <f t="shared" si="18"/>
        <v>17</v>
      </c>
      <c r="B41" s="3" t="s">
        <v>12</v>
      </c>
      <c r="C41" s="3" t="s">
        <v>17</v>
      </c>
      <c r="D41" s="3" t="s">
        <v>75</v>
      </c>
      <c r="E41" s="3" t="s">
        <v>112</v>
      </c>
      <c r="F41" s="5">
        <v>0.18</v>
      </c>
      <c r="G41" s="5">
        <v>7.3999999999999996E-2</v>
      </c>
      <c r="H41" s="5">
        <v>0.108</v>
      </c>
      <c r="I41" s="5">
        <v>0.13900000000000001</v>
      </c>
      <c r="J41" s="5">
        <v>0.253</v>
      </c>
      <c r="K41" s="5">
        <v>0.16</v>
      </c>
      <c r="L41" s="5">
        <v>0.23599999999999999</v>
      </c>
      <c r="M41" s="5">
        <v>0.24099999999999999</v>
      </c>
      <c r="N41" s="5">
        <v>0.16</v>
      </c>
      <c r="O41" s="5">
        <v>0.28999999999999998</v>
      </c>
      <c r="P41" s="5">
        <v>0.03</v>
      </c>
      <c r="Q41" s="5">
        <v>0.308</v>
      </c>
      <c r="R41" s="5">
        <v>0.18</v>
      </c>
      <c r="S41" s="5">
        <v>0.109</v>
      </c>
      <c r="T41" s="5">
        <v>0.123</v>
      </c>
      <c r="U41" s="5">
        <v>0.13400000000000001</v>
      </c>
      <c r="V41" s="129">
        <v>0.25</v>
      </c>
      <c r="W41" s="129">
        <v>0.1</v>
      </c>
      <c r="X41" s="129">
        <f>VLOOKUP(E41,Sheet5!$O:$Q,2,0)</f>
        <v>0.22625000000000001</v>
      </c>
      <c r="Y41">
        <f>VLOOKUP(E41,Sheet5!O:P,2,0)</f>
        <v>0.22625000000000001</v>
      </c>
      <c r="Z41" s="73" t="str">
        <f t="shared" si="19"/>
        <v>勃利德顺</v>
      </c>
      <c r="AA41" s="71">
        <f t="shared" si="5"/>
        <v>134</v>
      </c>
      <c r="AB41" s="71">
        <f t="shared" si="6"/>
        <v>250</v>
      </c>
      <c r="AC41" s="71">
        <f t="shared" si="7"/>
        <v>100</v>
      </c>
      <c r="AD41">
        <f t="shared" si="8"/>
        <v>-3.5971223021582732E-2</v>
      </c>
      <c r="AE41">
        <f t="shared" si="9"/>
        <v>-1.1857707509881465E-2</v>
      </c>
      <c r="AF41">
        <f t="shared" si="10"/>
        <v>-0.375</v>
      </c>
      <c r="AG41" s="71">
        <f t="shared" si="11"/>
        <v>226.25</v>
      </c>
      <c r="AH41" s="71">
        <f t="shared" si="12"/>
        <v>236</v>
      </c>
      <c r="AI41">
        <f t="shared" si="13"/>
        <v>-4.1313559322033844E-2</v>
      </c>
      <c r="AJ41">
        <f t="shared" si="14"/>
        <v>226.25</v>
      </c>
      <c r="AK41">
        <f t="shared" si="15"/>
        <v>1</v>
      </c>
      <c r="AL41" s="73" t="str">
        <f t="shared" si="16"/>
        <v>勃利德顺</v>
      </c>
      <c r="AM41" s="73" t="str">
        <f t="shared" si="17"/>
        <v>七台河外埠所</v>
      </c>
    </row>
    <row r="42" spans="1:39" ht="15" thickBot="1" x14ac:dyDescent="0.25">
      <c r="A42" s="132">
        <f t="shared" si="18"/>
        <v>22</v>
      </c>
      <c r="B42" s="3" t="s">
        <v>12</v>
      </c>
      <c r="C42" s="3" t="s">
        <v>17</v>
      </c>
      <c r="D42" s="3" t="s">
        <v>75</v>
      </c>
      <c r="E42" s="3" t="s">
        <v>113</v>
      </c>
      <c r="F42" s="7">
        <v>0.16</v>
      </c>
      <c r="G42" s="7">
        <v>0.122</v>
      </c>
      <c r="H42" s="4">
        <v>2.8000000000000001E-2</v>
      </c>
      <c r="I42" s="4">
        <v>0.10199999999999999</v>
      </c>
      <c r="J42" s="4">
        <v>0.107</v>
      </c>
      <c r="K42" s="4">
        <v>0.05</v>
      </c>
      <c r="L42" s="4">
        <v>0.20200000000000001</v>
      </c>
      <c r="M42" s="4">
        <v>8.5000000000000006E-2</v>
      </c>
      <c r="N42" s="4">
        <v>0.111</v>
      </c>
      <c r="O42" s="4">
        <v>0.20100000000000001</v>
      </c>
      <c r="P42" s="4">
        <v>0.20499999999999999</v>
      </c>
      <c r="Q42" s="4">
        <v>0.27500000000000002</v>
      </c>
      <c r="R42" s="4">
        <v>0.16</v>
      </c>
      <c r="S42" s="4">
        <v>0.13400000000000001</v>
      </c>
      <c r="T42" s="4">
        <v>0.1</v>
      </c>
      <c r="U42" s="4">
        <v>9.1999999999999998E-2</v>
      </c>
      <c r="V42" s="128">
        <v>0.105</v>
      </c>
      <c r="W42" s="128">
        <v>8.5000000000000006E-2</v>
      </c>
      <c r="X42" s="128">
        <f>VLOOKUP(E42,Sheet5!$O:$Q,2,0)</f>
        <v>0.125</v>
      </c>
      <c r="Y42">
        <f>VLOOKUP(E42,Sheet5!O:P,2,0)</f>
        <v>0.125</v>
      </c>
      <c r="Z42" s="73" t="str">
        <f t="shared" si="19"/>
        <v>友谊名庄</v>
      </c>
      <c r="AA42" s="71">
        <f t="shared" si="5"/>
        <v>92</v>
      </c>
      <c r="AB42" s="71">
        <f t="shared" si="6"/>
        <v>105</v>
      </c>
      <c r="AC42" s="71">
        <f t="shared" si="7"/>
        <v>85</v>
      </c>
      <c r="AD42">
        <f t="shared" si="8"/>
        <v>-9.8039215686274495E-2</v>
      </c>
      <c r="AE42">
        <f t="shared" si="9"/>
        <v>-1.8691588785046731E-2</v>
      </c>
      <c r="AF42">
        <f t="shared" si="10"/>
        <v>0.7</v>
      </c>
      <c r="AG42" s="71">
        <f t="shared" si="11"/>
        <v>125</v>
      </c>
      <c r="AH42" s="71">
        <f t="shared" si="12"/>
        <v>202</v>
      </c>
      <c r="AI42">
        <f t="shared" si="13"/>
        <v>-0.38118811881188119</v>
      </c>
      <c r="AJ42">
        <f t="shared" si="14"/>
        <v>125</v>
      </c>
      <c r="AK42">
        <f t="shared" si="15"/>
        <v>1</v>
      </c>
      <c r="AL42" s="73" t="str">
        <f t="shared" si="16"/>
        <v>友谊名庄</v>
      </c>
      <c r="AM42" s="73" t="str">
        <f t="shared" si="17"/>
        <v>七台河外埠所</v>
      </c>
    </row>
    <row r="43" spans="1:39" ht="15" thickBot="1" x14ac:dyDescent="0.25">
      <c r="A43" s="132">
        <f t="shared" si="18"/>
        <v>9</v>
      </c>
      <c r="B43" s="3" t="s">
        <v>12</v>
      </c>
      <c r="C43" s="3" t="s">
        <v>17</v>
      </c>
      <c r="D43" s="3" t="s">
        <v>75</v>
      </c>
      <c r="E43" s="3" t="s">
        <v>114</v>
      </c>
      <c r="F43" s="6">
        <v>0.215</v>
      </c>
      <c r="G43" s="6">
        <v>0.21299999999999999</v>
      </c>
      <c r="H43" s="6">
        <v>0.13</v>
      </c>
      <c r="I43" s="6">
        <v>0.32700000000000001</v>
      </c>
      <c r="J43" s="6">
        <v>0.39800000000000002</v>
      </c>
      <c r="K43" s="6">
        <v>0.28100000000000003</v>
      </c>
      <c r="L43" s="6">
        <v>0.29499999999999998</v>
      </c>
      <c r="M43" s="6">
        <v>0.24299999999999999</v>
      </c>
      <c r="N43" s="5">
        <v>0.104</v>
      </c>
      <c r="O43" s="5">
        <v>0.39</v>
      </c>
      <c r="P43" s="5">
        <v>0.41499999999999998</v>
      </c>
      <c r="Q43" s="5">
        <v>0.246</v>
      </c>
      <c r="R43" s="5">
        <v>0.215</v>
      </c>
      <c r="S43" s="5">
        <v>0.23400000000000001</v>
      </c>
      <c r="T43" s="5">
        <v>0.1</v>
      </c>
      <c r="U43" s="5">
        <v>0.26</v>
      </c>
      <c r="V43" s="129">
        <v>0.39</v>
      </c>
      <c r="W43" s="129">
        <v>0.4</v>
      </c>
      <c r="X43" s="129">
        <f>VLOOKUP(E43,Sheet5!$O:$Q,2,0)</f>
        <v>0.4</v>
      </c>
      <c r="Y43">
        <f>VLOOKUP(E43,Sheet5!O:P,2,0)</f>
        <v>0.4</v>
      </c>
      <c r="Z43" s="73" t="str">
        <f t="shared" si="19"/>
        <v>林口汇翔</v>
      </c>
      <c r="AA43" s="71">
        <f t="shared" si="5"/>
        <v>260</v>
      </c>
      <c r="AB43" s="71">
        <f t="shared" si="6"/>
        <v>390</v>
      </c>
      <c r="AC43" s="71">
        <f t="shared" si="7"/>
        <v>400</v>
      </c>
      <c r="AD43">
        <f t="shared" si="8"/>
        <v>-0.2048929663608563</v>
      </c>
      <c r="AE43">
        <f t="shared" si="9"/>
        <v>-2.010050251256279E-2</v>
      </c>
      <c r="AF43">
        <f t="shared" si="10"/>
        <v>0.42348754448398562</v>
      </c>
      <c r="AG43" s="71">
        <f t="shared" si="11"/>
        <v>400</v>
      </c>
      <c r="AH43" s="71">
        <f t="shared" si="12"/>
        <v>295</v>
      </c>
      <c r="AI43">
        <f t="shared" si="13"/>
        <v>0.35593220338983045</v>
      </c>
      <c r="AJ43">
        <f t="shared" si="14"/>
        <v>400</v>
      </c>
      <c r="AK43">
        <f t="shared" si="15"/>
        <v>1</v>
      </c>
      <c r="AL43" s="73" t="str">
        <f t="shared" si="16"/>
        <v>林口汇翔</v>
      </c>
      <c r="AM43" s="73" t="str">
        <f t="shared" si="17"/>
        <v>七台河外埠所</v>
      </c>
    </row>
    <row r="44" spans="1:39" ht="15" thickBot="1" x14ac:dyDescent="0.25">
      <c r="A44" s="132">
        <f t="shared" si="18"/>
        <v>24</v>
      </c>
      <c r="B44" s="3" t="s">
        <v>12</v>
      </c>
      <c r="C44" s="3" t="s">
        <v>17</v>
      </c>
      <c r="D44" s="3" t="s">
        <v>75</v>
      </c>
      <c r="E44" s="3" t="s">
        <v>115</v>
      </c>
      <c r="F44" s="4">
        <v>0.18</v>
      </c>
      <c r="G44" s="4">
        <v>0.27200000000000002</v>
      </c>
      <c r="H44" s="4">
        <v>0.247</v>
      </c>
      <c r="I44" s="4">
        <v>0.16200000000000001</v>
      </c>
      <c r="J44" s="4">
        <v>0.219</v>
      </c>
      <c r="K44" s="4">
        <v>0.16</v>
      </c>
      <c r="L44" s="4">
        <v>0.20100000000000001</v>
      </c>
      <c r="M44" s="4">
        <v>0.20799999999999999</v>
      </c>
      <c r="N44" s="4">
        <v>0.17</v>
      </c>
      <c r="O44" s="4">
        <v>0.20100000000000001</v>
      </c>
      <c r="P44" s="5">
        <v>0.155</v>
      </c>
      <c r="Q44" s="5">
        <v>0.245</v>
      </c>
      <c r="R44" s="4">
        <v>0.18</v>
      </c>
      <c r="S44" s="4">
        <v>6.0999999999999999E-2</v>
      </c>
      <c r="T44" s="4">
        <v>0.03</v>
      </c>
      <c r="U44" s="4">
        <v>0.1</v>
      </c>
      <c r="V44" s="128">
        <v>0.215</v>
      </c>
      <c r="W44" s="128">
        <v>0.16900000000000001</v>
      </c>
      <c r="X44" s="128">
        <f>VLOOKUP(E44,Sheet5!$O:$Q,2,0)</f>
        <v>8.7499999999999994E-2</v>
      </c>
      <c r="Y44">
        <f>VLOOKUP(E44,Sheet5!O:P,2,0)</f>
        <v>8.7499999999999994E-2</v>
      </c>
      <c r="Z44" s="73" t="str">
        <f t="shared" si="19"/>
        <v>汤原县大贵</v>
      </c>
      <c r="AA44" s="71">
        <f t="shared" si="5"/>
        <v>100</v>
      </c>
      <c r="AB44" s="71">
        <f t="shared" si="6"/>
        <v>215</v>
      </c>
      <c r="AC44" s="71">
        <f t="shared" si="7"/>
        <v>169</v>
      </c>
      <c r="AD44">
        <f t="shared" si="8"/>
        <v>-0.38271604938271608</v>
      </c>
      <c r="AE44">
        <f t="shared" si="9"/>
        <v>-1.8264840182648401E-2</v>
      </c>
      <c r="AF44">
        <f t="shared" si="10"/>
        <v>5.6250000000000133E-2</v>
      </c>
      <c r="AG44" s="71">
        <f t="shared" si="11"/>
        <v>87.5</v>
      </c>
      <c r="AH44" s="71">
        <f t="shared" si="12"/>
        <v>201</v>
      </c>
      <c r="AI44">
        <f t="shared" si="13"/>
        <v>-0.56467661691542292</v>
      </c>
      <c r="AJ44">
        <f t="shared" si="14"/>
        <v>87.5</v>
      </c>
      <c r="AK44">
        <f t="shared" si="15"/>
        <v>1</v>
      </c>
      <c r="AL44" s="73" t="str">
        <f t="shared" si="16"/>
        <v>汤原县大贵</v>
      </c>
      <c r="AM44" s="73" t="str">
        <f t="shared" si="17"/>
        <v>七台河外埠所</v>
      </c>
    </row>
    <row r="45" spans="1:39" ht="15" thickBot="1" x14ac:dyDescent="0.25">
      <c r="A45" s="132">
        <f t="shared" si="18"/>
        <v>14</v>
      </c>
      <c r="B45" s="3" t="s">
        <v>12</v>
      </c>
      <c r="C45" s="3" t="s">
        <v>17</v>
      </c>
      <c r="D45" s="3" t="s">
        <v>94</v>
      </c>
      <c r="E45" s="3" t="s">
        <v>116</v>
      </c>
      <c r="F45" s="7">
        <v>0.56000000000000005</v>
      </c>
      <c r="G45" s="7">
        <v>0.48099999999999998</v>
      </c>
      <c r="H45" s="7">
        <v>0.46500000000000002</v>
      </c>
      <c r="I45" s="4">
        <v>0.61</v>
      </c>
      <c r="J45" s="4">
        <v>0.66</v>
      </c>
      <c r="K45" s="4">
        <v>0.439</v>
      </c>
      <c r="L45" s="4">
        <v>1</v>
      </c>
      <c r="M45" s="4">
        <v>0.52700000000000002</v>
      </c>
      <c r="N45" s="4">
        <v>0.50600000000000001</v>
      </c>
      <c r="O45" s="4">
        <v>0.52200000000000002</v>
      </c>
      <c r="P45" s="4">
        <v>0.82199999999999995</v>
      </c>
      <c r="Q45" s="4">
        <v>0.504</v>
      </c>
      <c r="R45" s="4">
        <v>0.56000000000000005</v>
      </c>
      <c r="S45" s="4">
        <v>0.52900000000000003</v>
      </c>
      <c r="T45" s="4">
        <v>0.40799999999999997</v>
      </c>
      <c r="U45" s="4">
        <v>0.55200000000000005</v>
      </c>
      <c r="V45" s="128">
        <v>0.65</v>
      </c>
      <c r="W45" s="128">
        <v>0.28000000000000003</v>
      </c>
      <c r="X45" s="128">
        <f>VLOOKUP(E45,Sheet5!$O:$Q,2,0)</f>
        <v>1.0962499999999999</v>
      </c>
      <c r="Y45">
        <f>VLOOKUP(E45,Sheet5!O:P,2,0)</f>
        <v>1.0962499999999999</v>
      </c>
      <c r="Z45" s="73" t="str">
        <f t="shared" si="19"/>
        <v>七台顺阳</v>
      </c>
      <c r="AA45" s="71">
        <f t="shared" si="5"/>
        <v>552</v>
      </c>
      <c r="AB45" s="71">
        <f t="shared" si="6"/>
        <v>650</v>
      </c>
      <c r="AC45" s="71">
        <f t="shared" si="7"/>
        <v>280</v>
      </c>
      <c r="AD45">
        <f t="shared" si="8"/>
        <v>-9.5081967213114682E-2</v>
      </c>
      <c r="AE45">
        <f t="shared" si="9"/>
        <v>-1.5151515151515138E-2</v>
      </c>
      <c r="AF45">
        <f t="shared" si="10"/>
        <v>-0.36218678815489747</v>
      </c>
      <c r="AG45" s="71">
        <f t="shared" si="11"/>
        <v>1096.25</v>
      </c>
      <c r="AH45" s="71">
        <f t="shared" si="12"/>
        <v>1000</v>
      </c>
      <c r="AI45">
        <f t="shared" si="13"/>
        <v>9.6249999999999947E-2</v>
      </c>
      <c r="AJ45">
        <f t="shared" si="14"/>
        <v>1096.25</v>
      </c>
      <c r="AK45">
        <f t="shared" si="15"/>
        <v>1</v>
      </c>
      <c r="AL45" s="73" t="str">
        <f t="shared" si="16"/>
        <v>七台顺阳</v>
      </c>
      <c r="AM45" s="73" t="str">
        <f t="shared" si="17"/>
        <v>七台河外埠所</v>
      </c>
    </row>
    <row r="46" spans="1:39" ht="15" thickBot="1" x14ac:dyDescent="0.25">
      <c r="A46" s="132">
        <f t="shared" si="18"/>
        <v>8</v>
      </c>
      <c r="B46" s="3" t="s">
        <v>12</v>
      </c>
      <c r="C46" s="3" t="s">
        <v>18</v>
      </c>
      <c r="D46" s="3" t="s">
        <v>84</v>
      </c>
      <c r="E46" s="3" t="s">
        <v>212</v>
      </c>
      <c r="F46" s="4">
        <v>0.18</v>
      </c>
      <c r="G46" s="4">
        <v>0.2</v>
      </c>
      <c r="H46" s="4">
        <v>0.192</v>
      </c>
      <c r="I46" s="4">
        <v>0.20100000000000001</v>
      </c>
      <c r="J46" s="4">
        <v>0.193</v>
      </c>
      <c r="K46" s="4">
        <v>0.19800000000000001</v>
      </c>
      <c r="L46" s="4">
        <v>0.25</v>
      </c>
      <c r="M46" s="4">
        <v>0.21299999999999999</v>
      </c>
      <c r="N46" s="4">
        <v>0.159</v>
      </c>
      <c r="O46" s="4">
        <v>0.26400000000000001</v>
      </c>
      <c r="P46" s="4">
        <v>0.30199999999999999</v>
      </c>
      <c r="Q46" s="4">
        <v>0.16600000000000001</v>
      </c>
      <c r="R46" s="4">
        <v>0.18</v>
      </c>
      <c r="S46" s="4">
        <v>0.28299999999999997</v>
      </c>
      <c r="T46" s="4">
        <v>0.17199999999999999</v>
      </c>
      <c r="U46" s="4">
        <v>0.182</v>
      </c>
      <c r="V46" s="128">
        <v>0.19</v>
      </c>
      <c r="W46" s="128">
        <v>0.05</v>
      </c>
      <c r="X46" s="128">
        <f>VLOOKUP(E46,Sheet5!$O:$Q,2,0)</f>
        <v>0.34250000000000003</v>
      </c>
      <c r="Y46">
        <f>VLOOKUP(E46,Sheet5!O:P,2,0)</f>
        <v>0.34250000000000003</v>
      </c>
      <c r="Z46" s="73" t="str">
        <f t="shared" si="19"/>
        <v>双鸭山旺通</v>
      </c>
      <c r="AA46" s="71">
        <f t="shared" si="5"/>
        <v>182</v>
      </c>
      <c r="AB46" s="71">
        <f t="shared" si="6"/>
        <v>190</v>
      </c>
      <c r="AC46" s="71">
        <f t="shared" si="7"/>
        <v>50</v>
      </c>
      <c r="AD46">
        <f t="shared" si="8"/>
        <v>-9.4527363184079727E-2</v>
      </c>
      <c r="AE46">
        <f t="shared" si="9"/>
        <v>-1.5544041450777257E-2</v>
      </c>
      <c r="AF46">
        <f t="shared" si="10"/>
        <v>-0.7474747474747474</v>
      </c>
      <c r="AG46" s="71">
        <f t="shared" si="11"/>
        <v>342.5</v>
      </c>
      <c r="AH46" s="71">
        <f t="shared" si="12"/>
        <v>250</v>
      </c>
      <c r="AI46">
        <f t="shared" si="13"/>
        <v>0.37000000000000011</v>
      </c>
      <c r="AJ46">
        <f t="shared" si="14"/>
        <v>342.5</v>
      </c>
      <c r="AK46">
        <f t="shared" si="15"/>
        <v>1</v>
      </c>
      <c r="AL46" s="73" t="str">
        <f t="shared" si="16"/>
        <v>双鸭山旺通</v>
      </c>
      <c r="AM46" s="73" t="str">
        <f t="shared" si="17"/>
        <v>双鸭山城区所</v>
      </c>
    </row>
    <row r="47" spans="1:39" ht="15" thickBot="1" x14ac:dyDescent="0.25">
      <c r="A47" s="132">
        <f t="shared" si="18"/>
        <v>18</v>
      </c>
      <c r="B47" s="3" t="s">
        <v>12</v>
      </c>
      <c r="C47" s="3" t="s">
        <v>18</v>
      </c>
      <c r="D47" s="3" t="s">
        <v>84</v>
      </c>
      <c r="E47" s="3" t="s">
        <v>117</v>
      </c>
      <c r="F47" s="5">
        <v>0.18</v>
      </c>
      <c r="G47" s="5">
        <v>0.161</v>
      </c>
      <c r="H47" s="5">
        <v>0.153</v>
      </c>
      <c r="I47" s="5">
        <v>0.20499999999999999</v>
      </c>
      <c r="J47" s="5">
        <v>0.30599999999999999</v>
      </c>
      <c r="K47" s="5">
        <v>0.17199999999999999</v>
      </c>
      <c r="L47" s="5">
        <v>0.23200000000000001</v>
      </c>
      <c r="M47" s="5">
        <v>0.2</v>
      </c>
      <c r="N47" s="5">
        <v>0.13800000000000001</v>
      </c>
      <c r="O47" s="5">
        <v>0.26500000000000001</v>
      </c>
      <c r="P47" s="5">
        <v>0.30099999999999999</v>
      </c>
      <c r="Q47" s="5">
        <v>0.13500000000000001</v>
      </c>
      <c r="R47" s="5">
        <v>0.16</v>
      </c>
      <c r="S47" s="5">
        <v>0.189</v>
      </c>
      <c r="T47" s="5">
        <v>0.21099999999999999</v>
      </c>
      <c r="U47" s="5">
        <v>0.185</v>
      </c>
      <c r="V47" s="129">
        <v>0.29599999999999999</v>
      </c>
      <c r="W47" s="129">
        <v>0.161</v>
      </c>
      <c r="X47" s="129">
        <f>VLOOKUP(E47,Sheet5!$O:$Q,2,0)</f>
        <v>0.19750000000000001</v>
      </c>
      <c r="Y47">
        <f>VLOOKUP(E47,Sheet5!O:P,2,0)</f>
        <v>0.19750000000000001</v>
      </c>
      <c r="Z47" s="73" t="str">
        <f t="shared" si="19"/>
        <v>集贤县联济</v>
      </c>
      <c r="AA47" s="71">
        <f t="shared" si="5"/>
        <v>185</v>
      </c>
      <c r="AB47" s="71">
        <f t="shared" si="6"/>
        <v>296</v>
      </c>
      <c r="AC47" s="71">
        <f t="shared" si="7"/>
        <v>161</v>
      </c>
      <c r="AD47">
        <f t="shared" si="8"/>
        <v>-9.7560975609756073E-2</v>
      </c>
      <c r="AE47">
        <f t="shared" si="9"/>
        <v>-3.2679738562091498E-2</v>
      </c>
      <c r="AF47">
        <f t="shared" si="10"/>
        <v>-6.3953488372092915E-2</v>
      </c>
      <c r="AG47" s="71">
        <f t="shared" si="11"/>
        <v>197.5</v>
      </c>
      <c r="AH47" s="71">
        <f t="shared" si="12"/>
        <v>232</v>
      </c>
      <c r="AI47">
        <f t="shared" si="13"/>
        <v>-0.14870689655172409</v>
      </c>
      <c r="AJ47">
        <f t="shared" si="14"/>
        <v>197.5</v>
      </c>
      <c r="AK47">
        <f t="shared" si="15"/>
        <v>1</v>
      </c>
      <c r="AL47" s="73" t="str">
        <f t="shared" si="16"/>
        <v>集贤县联济</v>
      </c>
      <c r="AM47" s="73" t="str">
        <f t="shared" si="17"/>
        <v>双鸭山城区所</v>
      </c>
    </row>
    <row r="48" spans="1:39" ht="15" thickBot="1" x14ac:dyDescent="0.25">
      <c r="A48" s="132">
        <f t="shared" si="18"/>
        <v>7</v>
      </c>
      <c r="B48" s="3" t="s">
        <v>12</v>
      </c>
      <c r="C48" s="3" t="s">
        <v>19</v>
      </c>
      <c r="D48" s="3" t="s">
        <v>73</v>
      </c>
      <c r="E48" s="3" t="s">
        <v>118</v>
      </c>
      <c r="F48" s="4">
        <v>0.63</v>
      </c>
      <c r="G48" s="4">
        <v>0.27200000000000002</v>
      </c>
      <c r="H48" s="4">
        <v>0.44900000000000001</v>
      </c>
      <c r="I48" s="4">
        <v>0.34</v>
      </c>
      <c r="J48" s="4">
        <v>0.46800000000000003</v>
      </c>
      <c r="K48" s="4">
        <v>0.47199999999999998</v>
      </c>
      <c r="L48" s="4">
        <v>0.4</v>
      </c>
      <c r="M48" s="4">
        <v>0.51500000000000001</v>
      </c>
      <c r="N48" s="4">
        <v>0.35699999999999998</v>
      </c>
      <c r="O48" s="4">
        <v>0.51</v>
      </c>
      <c r="P48" s="4">
        <v>0.41899999999999998</v>
      </c>
      <c r="Q48" s="4">
        <v>0.7</v>
      </c>
      <c r="R48" s="4">
        <v>0.63</v>
      </c>
      <c r="S48" s="4">
        <v>0.32</v>
      </c>
      <c r="T48" s="4">
        <v>0.34399999999999997</v>
      </c>
      <c r="U48" s="4">
        <v>0.218</v>
      </c>
      <c r="V48" s="128">
        <v>0.46300000000000002</v>
      </c>
      <c r="W48" s="128">
        <v>0.4</v>
      </c>
      <c r="X48" s="128">
        <f>VLOOKUP(E48,Sheet5!$O:$Q,2,0)</f>
        <v>0.56125000000000003</v>
      </c>
      <c r="Y48">
        <f>VLOOKUP(E48,Sheet5!O:P,2,0)</f>
        <v>0.56125000000000003</v>
      </c>
      <c r="Z48" s="73" t="str">
        <f t="shared" si="19"/>
        <v>宝清远大</v>
      </c>
      <c r="AA48" s="71">
        <f t="shared" si="5"/>
        <v>218</v>
      </c>
      <c r="AB48" s="71">
        <f t="shared" si="6"/>
        <v>463</v>
      </c>
      <c r="AC48" s="71">
        <f t="shared" si="7"/>
        <v>400</v>
      </c>
      <c r="AD48">
        <f t="shared" si="8"/>
        <v>-0.35882352941176476</v>
      </c>
      <c r="AE48">
        <f t="shared" si="9"/>
        <v>-1.0683760683760646E-2</v>
      </c>
      <c r="AF48">
        <f t="shared" si="10"/>
        <v>-0.15254237288135586</v>
      </c>
      <c r="AG48" s="71">
        <f t="shared" si="11"/>
        <v>561.25</v>
      </c>
      <c r="AH48" s="71">
        <f t="shared" si="12"/>
        <v>400</v>
      </c>
      <c r="AI48">
        <f t="shared" si="13"/>
        <v>0.40312499999999996</v>
      </c>
      <c r="AJ48">
        <f t="shared" si="14"/>
        <v>561.25</v>
      </c>
      <c r="AK48">
        <f t="shared" si="15"/>
        <v>1</v>
      </c>
      <c r="AL48" s="73" t="str">
        <f t="shared" si="16"/>
        <v>宝清远大</v>
      </c>
      <c r="AM48" s="73" t="str">
        <f t="shared" si="17"/>
        <v>双鸭山外埠所</v>
      </c>
    </row>
    <row r="49" spans="1:39" ht="15" thickBot="1" x14ac:dyDescent="0.25">
      <c r="A49" s="132">
        <f t="shared" si="18"/>
        <v>13</v>
      </c>
      <c r="B49" s="3" t="s">
        <v>12</v>
      </c>
      <c r="C49" s="3" t="s">
        <v>19</v>
      </c>
      <c r="D49" s="3" t="s">
        <v>75</v>
      </c>
      <c r="E49" s="3" t="s">
        <v>119</v>
      </c>
      <c r="F49" s="5">
        <v>0.24</v>
      </c>
      <c r="G49" s="5">
        <v>0.122</v>
      </c>
      <c r="H49" s="5">
        <v>0.161</v>
      </c>
      <c r="I49" s="5">
        <v>0.184</v>
      </c>
      <c r="J49" s="5">
        <v>0.21</v>
      </c>
      <c r="K49" s="5">
        <v>0.14099999999999999</v>
      </c>
      <c r="L49" s="5">
        <v>0.2</v>
      </c>
      <c r="M49" s="5">
        <v>0.15</v>
      </c>
      <c r="N49" s="5">
        <v>0.15</v>
      </c>
      <c r="O49" s="5">
        <v>0.23</v>
      </c>
      <c r="P49" s="5">
        <v>0.20499999999999999</v>
      </c>
      <c r="Q49" s="5">
        <v>0.20899999999999999</v>
      </c>
      <c r="R49" s="5">
        <v>0.24</v>
      </c>
      <c r="S49" s="5">
        <v>0.13500000000000001</v>
      </c>
      <c r="T49" s="5">
        <v>0.1</v>
      </c>
      <c r="U49" s="5">
        <v>0.16600000000000001</v>
      </c>
      <c r="V49" s="129">
        <v>0.21</v>
      </c>
      <c r="W49" s="129">
        <v>0.14899999999999999</v>
      </c>
      <c r="X49" s="129">
        <f>VLOOKUP(E49,Sheet5!$O:$Q,2,0)</f>
        <v>0.22750000000000001</v>
      </c>
      <c r="Y49">
        <f>VLOOKUP(E49,Sheet5!O:P,2,0)</f>
        <v>0.22750000000000001</v>
      </c>
      <c r="Z49" s="73" t="str">
        <f t="shared" si="19"/>
        <v>抚远天添</v>
      </c>
      <c r="AA49" s="71">
        <f t="shared" si="5"/>
        <v>166</v>
      </c>
      <c r="AB49" s="71">
        <f t="shared" si="6"/>
        <v>210</v>
      </c>
      <c r="AC49" s="71">
        <f t="shared" si="7"/>
        <v>149</v>
      </c>
      <c r="AD49">
        <f t="shared" si="8"/>
        <v>-9.7826086956521729E-2</v>
      </c>
      <c r="AE49">
        <f t="shared" si="9"/>
        <v>0</v>
      </c>
      <c r="AF49">
        <f t="shared" si="10"/>
        <v>5.6737588652482351E-2</v>
      </c>
      <c r="AG49" s="71">
        <f t="shared" si="11"/>
        <v>227.5</v>
      </c>
      <c r="AH49" s="71">
        <f t="shared" si="12"/>
        <v>200</v>
      </c>
      <c r="AI49">
        <f t="shared" si="13"/>
        <v>0.13749999999999996</v>
      </c>
      <c r="AJ49">
        <f t="shared" si="14"/>
        <v>227.5</v>
      </c>
      <c r="AK49">
        <f t="shared" si="15"/>
        <v>1</v>
      </c>
      <c r="AL49" s="73" t="str">
        <f t="shared" si="16"/>
        <v>抚远天添</v>
      </c>
      <c r="AM49" s="73" t="str">
        <f t="shared" si="17"/>
        <v>双鸭山外埠所</v>
      </c>
    </row>
    <row r="50" spans="1:39" ht="15" thickBot="1" x14ac:dyDescent="0.25">
      <c r="A50" s="132">
        <f t="shared" si="18"/>
        <v>19</v>
      </c>
      <c r="B50" s="3" t="s">
        <v>12</v>
      </c>
      <c r="C50" s="3" t="s">
        <v>19</v>
      </c>
      <c r="D50" s="3" t="s">
        <v>75</v>
      </c>
      <c r="E50" s="3" t="s">
        <v>120</v>
      </c>
      <c r="F50" s="5">
        <v>0.375</v>
      </c>
      <c r="G50" s="5">
        <v>0.27200000000000002</v>
      </c>
      <c r="H50" s="5">
        <v>0.20499999999999999</v>
      </c>
      <c r="I50" s="5">
        <v>0.21299999999999999</v>
      </c>
      <c r="J50" s="5">
        <v>0.34</v>
      </c>
      <c r="K50" s="5">
        <v>0.20300000000000001</v>
      </c>
      <c r="L50" s="5">
        <v>0.3</v>
      </c>
      <c r="M50" s="5">
        <v>0.28999999999999998</v>
      </c>
      <c r="N50" s="5">
        <v>0.23200000000000001</v>
      </c>
      <c r="O50" s="5">
        <v>0.28000000000000003</v>
      </c>
      <c r="P50" s="5">
        <v>0.23400000000000001</v>
      </c>
      <c r="Q50" s="5">
        <v>0.30499999999999999</v>
      </c>
      <c r="R50" s="5">
        <v>0.375</v>
      </c>
      <c r="S50" s="5">
        <v>0.28000000000000003</v>
      </c>
      <c r="T50" s="5">
        <v>0.1</v>
      </c>
      <c r="U50" s="5">
        <v>0.193</v>
      </c>
      <c r="V50" s="129">
        <v>0.33600000000000002</v>
      </c>
      <c r="W50" s="129">
        <v>0.17899999999999999</v>
      </c>
      <c r="X50" s="129">
        <f>VLOOKUP(E50,Sheet5!$O:$Q,2,0)</f>
        <v>0.22750000000000001</v>
      </c>
      <c r="Y50">
        <f>VLOOKUP(E50,Sheet5!O:P,2,0)</f>
        <v>0.22750000000000001</v>
      </c>
      <c r="Z50" s="73" t="str">
        <f t="shared" si="19"/>
        <v>建三江广优</v>
      </c>
      <c r="AA50" s="71">
        <f t="shared" si="5"/>
        <v>193</v>
      </c>
      <c r="AB50" s="71">
        <f t="shared" si="6"/>
        <v>336</v>
      </c>
      <c r="AC50" s="71">
        <f t="shared" si="7"/>
        <v>179</v>
      </c>
      <c r="AD50">
        <f t="shared" si="8"/>
        <v>-9.3896713615023386E-2</v>
      </c>
      <c r="AE50">
        <f t="shared" si="9"/>
        <v>-1.1764705882352899E-2</v>
      </c>
      <c r="AF50">
        <f t="shared" si="10"/>
        <v>-0.11822660098522175</v>
      </c>
      <c r="AG50" s="71">
        <f t="shared" si="11"/>
        <v>227.5</v>
      </c>
      <c r="AH50" s="71">
        <f t="shared" si="12"/>
        <v>300</v>
      </c>
      <c r="AI50">
        <f t="shared" si="13"/>
        <v>-0.2416666666666667</v>
      </c>
      <c r="AJ50">
        <f t="shared" si="14"/>
        <v>227.5</v>
      </c>
      <c r="AK50">
        <f t="shared" si="15"/>
        <v>1</v>
      </c>
      <c r="AL50" s="73" t="str">
        <f t="shared" si="16"/>
        <v>建三江广优</v>
      </c>
      <c r="AM50" s="73" t="str">
        <f t="shared" si="17"/>
        <v>双鸭山外埠所</v>
      </c>
    </row>
    <row r="51" spans="1:39" ht="15" thickBot="1" x14ac:dyDescent="0.25">
      <c r="A51" s="132">
        <f t="shared" si="18"/>
        <v>11</v>
      </c>
      <c r="B51" s="3" t="s">
        <v>12</v>
      </c>
      <c r="C51" s="3" t="s">
        <v>19</v>
      </c>
      <c r="D51" s="3" t="s">
        <v>75</v>
      </c>
      <c r="E51" s="3" t="s">
        <v>121</v>
      </c>
      <c r="F51" s="4">
        <v>0.18</v>
      </c>
      <c r="G51" s="4">
        <v>0.30299999999999999</v>
      </c>
      <c r="H51" s="4">
        <v>8.9999999999999993E-3</v>
      </c>
      <c r="I51" s="4">
        <v>0.14399999999999999</v>
      </c>
      <c r="J51" s="4">
        <v>0.42</v>
      </c>
      <c r="K51" s="4">
        <v>0.188</v>
      </c>
      <c r="L51" s="4">
        <v>0.22600000000000001</v>
      </c>
      <c r="M51" s="4">
        <v>0.26200000000000001</v>
      </c>
      <c r="N51" s="4">
        <v>0.16300000000000001</v>
      </c>
      <c r="O51" s="4">
        <v>0.3</v>
      </c>
      <c r="P51" s="4">
        <v>0.15</v>
      </c>
      <c r="Q51" s="4">
        <v>0.193</v>
      </c>
      <c r="R51" s="4">
        <v>0.27400000000000002</v>
      </c>
      <c r="S51" s="4">
        <v>0.28299999999999997</v>
      </c>
      <c r="T51" s="4">
        <v>0.1</v>
      </c>
      <c r="U51" s="4">
        <v>0.16500000000000001</v>
      </c>
      <c r="V51" s="128">
        <v>0.312</v>
      </c>
      <c r="W51" s="128">
        <v>0.23200000000000001</v>
      </c>
      <c r="X51" s="128">
        <f>VLOOKUP(E51,Sheet5!$O:$Q,2,0)</f>
        <v>0.28249999999999997</v>
      </c>
      <c r="Y51">
        <f>VLOOKUP(E51,Sheet5!O:P,2,0)</f>
        <v>0.28249999999999997</v>
      </c>
      <c r="Z51" s="73" t="str">
        <f t="shared" si="19"/>
        <v>绥滨德枫</v>
      </c>
      <c r="AA51" s="71">
        <f t="shared" si="5"/>
        <v>165</v>
      </c>
      <c r="AB51" s="71">
        <f t="shared" si="6"/>
        <v>312</v>
      </c>
      <c r="AC51" s="71">
        <f t="shared" si="7"/>
        <v>232</v>
      </c>
      <c r="AD51">
        <f t="shared" si="8"/>
        <v>0.14583333333333348</v>
      </c>
      <c r="AE51">
        <f t="shared" si="9"/>
        <v>-0.25714285714285712</v>
      </c>
      <c r="AF51">
        <f t="shared" si="10"/>
        <v>0.23404255319148937</v>
      </c>
      <c r="AG51" s="71">
        <f t="shared" si="11"/>
        <v>282.5</v>
      </c>
      <c r="AH51" s="71">
        <f t="shared" si="12"/>
        <v>226</v>
      </c>
      <c r="AI51">
        <f t="shared" si="13"/>
        <v>0.25</v>
      </c>
      <c r="AJ51">
        <f t="shared" si="14"/>
        <v>282.5</v>
      </c>
      <c r="AK51">
        <f t="shared" si="15"/>
        <v>1</v>
      </c>
      <c r="AL51" s="73" t="str">
        <f t="shared" si="16"/>
        <v>绥滨德枫</v>
      </c>
      <c r="AM51" s="73" t="str">
        <f t="shared" si="17"/>
        <v>双鸭山外埠所</v>
      </c>
    </row>
    <row r="52" spans="1:39" ht="15" thickBot="1" x14ac:dyDescent="0.25">
      <c r="A52" s="132">
        <f t="shared" si="18"/>
        <v>2</v>
      </c>
      <c r="B52" s="3" t="s">
        <v>12</v>
      </c>
      <c r="C52" s="3" t="s">
        <v>19</v>
      </c>
      <c r="D52" s="3" t="s">
        <v>75</v>
      </c>
      <c r="E52" s="3" t="s">
        <v>122</v>
      </c>
      <c r="F52" s="5">
        <v>0.24</v>
      </c>
      <c r="G52" s="5">
        <v>0.122</v>
      </c>
      <c r="H52" s="5">
        <v>0.15</v>
      </c>
      <c r="I52" s="5">
        <v>0.18</v>
      </c>
      <c r="J52" s="5">
        <v>0.17</v>
      </c>
      <c r="K52" s="5">
        <v>0.16300000000000001</v>
      </c>
      <c r="L52" s="5">
        <v>0.2</v>
      </c>
      <c r="M52" s="5">
        <v>0.28499999999999998</v>
      </c>
      <c r="N52" s="5">
        <v>7.0000000000000001E-3</v>
      </c>
      <c r="O52" s="5">
        <v>0.31</v>
      </c>
      <c r="P52" s="5">
        <v>0.27500000000000002</v>
      </c>
      <c r="Q52" s="5">
        <v>0.26600000000000001</v>
      </c>
      <c r="R52" s="5">
        <v>0.24</v>
      </c>
      <c r="S52" s="5">
        <v>0.155</v>
      </c>
      <c r="T52" s="5">
        <v>0.13</v>
      </c>
      <c r="U52" s="5">
        <v>0.23400000000000001</v>
      </c>
      <c r="V52" s="129">
        <v>0.16500000000000001</v>
      </c>
      <c r="W52" s="129">
        <v>0.14000000000000001</v>
      </c>
      <c r="X52" s="129">
        <f>VLOOKUP(E52,Sheet5!$O:$Q,2,0)</f>
        <v>0.43375000000000002</v>
      </c>
      <c r="Y52">
        <f>VLOOKUP(E52,Sheet5!O:P,2,0)</f>
        <v>0.43375000000000002</v>
      </c>
      <c r="Z52" s="73" t="str">
        <f t="shared" si="19"/>
        <v>同江晏伊</v>
      </c>
      <c r="AA52" s="71">
        <f t="shared" si="5"/>
        <v>234</v>
      </c>
      <c r="AB52" s="71">
        <f t="shared" si="6"/>
        <v>165</v>
      </c>
      <c r="AC52" s="71">
        <f t="shared" si="7"/>
        <v>140</v>
      </c>
      <c r="AD52">
        <f t="shared" si="8"/>
        <v>0.30000000000000004</v>
      </c>
      <c r="AE52">
        <f t="shared" si="9"/>
        <v>-2.9411764705882359E-2</v>
      </c>
      <c r="AF52">
        <f t="shared" si="10"/>
        <v>-0.14110429447852757</v>
      </c>
      <c r="AG52" s="71">
        <f t="shared" si="11"/>
        <v>433.75</v>
      </c>
      <c r="AH52" s="71">
        <f t="shared" si="12"/>
        <v>200</v>
      </c>
      <c r="AI52">
        <f t="shared" si="13"/>
        <v>1.1687500000000002</v>
      </c>
      <c r="AJ52">
        <f t="shared" si="14"/>
        <v>433.75</v>
      </c>
      <c r="AK52">
        <f t="shared" si="15"/>
        <v>1</v>
      </c>
      <c r="AL52" s="73" t="str">
        <f t="shared" si="16"/>
        <v>同江晏伊</v>
      </c>
      <c r="AM52" s="73" t="str">
        <f t="shared" si="17"/>
        <v>双鸭山外埠所</v>
      </c>
    </row>
    <row r="53" spans="1:39" ht="15" thickBot="1" x14ac:dyDescent="0.25">
      <c r="A53" s="132">
        <f t="shared" si="18"/>
        <v>23</v>
      </c>
      <c r="B53" s="3" t="s">
        <v>12</v>
      </c>
      <c r="C53" s="3" t="s">
        <v>19</v>
      </c>
      <c r="D53" s="3" t="s">
        <v>75</v>
      </c>
      <c r="E53" s="3" t="s">
        <v>123</v>
      </c>
      <c r="F53" s="6">
        <v>0.25</v>
      </c>
      <c r="G53" s="6">
        <v>0.29399999999999998</v>
      </c>
      <c r="H53" s="6">
        <v>0.25700000000000001</v>
      </c>
      <c r="I53" s="6">
        <v>0.20599999999999999</v>
      </c>
      <c r="J53" s="5">
        <v>0.438</v>
      </c>
      <c r="K53" s="5">
        <v>0.312</v>
      </c>
      <c r="L53" s="5">
        <v>0.29499999999999998</v>
      </c>
      <c r="M53" s="5">
        <v>0.27500000000000002</v>
      </c>
      <c r="N53" s="5">
        <v>0.29599999999999999</v>
      </c>
      <c r="O53" s="5">
        <v>0.35399999999999998</v>
      </c>
      <c r="P53" s="5">
        <v>0.27</v>
      </c>
      <c r="Q53" s="5">
        <v>0.16500000000000001</v>
      </c>
      <c r="R53" s="5">
        <v>0.25</v>
      </c>
      <c r="S53" s="5">
        <v>0.3</v>
      </c>
      <c r="T53" s="5">
        <v>0.26500000000000001</v>
      </c>
      <c r="U53" s="5">
        <v>0.115</v>
      </c>
      <c r="V53" s="129">
        <v>0.43</v>
      </c>
      <c r="W53" s="129">
        <v>0.28699999999999998</v>
      </c>
      <c r="X53" s="129">
        <f>VLOOKUP(E53,Sheet5!$O:$Q,2,0)</f>
        <v>0.16250000000000001</v>
      </c>
      <c r="Y53">
        <f>VLOOKUP(E53,Sheet5!O:P,2,0)</f>
        <v>0.16250000000000001</v>
      </c>
      <c r="Z53" s="73" t="str">
        <f t="shared" si="19"/>
        <v>富锦金铭</v>
      </c>
      <c r="AA53" s="71">
        <f t="shared" si="5"/>
        <v>115</v>
      </c>
      <c r="AB53" s="71">
        <f t="shared" si="6"/>
        <v>430</v>
      </c>
      <c r="AC53" s="71">
        <f t="shared" si="7"/>
        <v>287</v>
      </c>
      <c r="AD53">
        <f t="shared" si="8"/>
        <v>-0.4417475728155339</v>
      </c>
      <c r="AE53">
        <f t="shared" si="9"/>
        <v>-1.8264840182648401E-2</v>
      </c>
      <c r="AF53">
        <f t="shared" si="10"/>
        <v>-8.0128205128205177E-2</v>
      </c>
      <c r="AG53" s="71">
        <f t="shared" si="11"/>
        <v>162.5</v>
      </c>
      <c r="AH53" s="71">
        <f t="shared" si="12"/>
        <v>295</v>
      </c>
      <c r="AI53">
        <f t="shared" si="13"/>
        <v>-0.44915254237288138</v>
      </c>
      <c r="AJ53">
        <f t="shared" si="14"/>
        <v>162.5</v>
      </c>
      <c r="AK53">
        <f t="shared" si="15"/>
        <v>1</v>
      </c>
      <c r="AL53" s="73" t="str">
        <f t="shared" si="16"/>
        <v>富锦金铭</v>
      </c>
      <c r="AM53" s="73" t="str">
        <f t="shared" si="17"/>
        <v>双鸭山外埠所</v>
      </c>
    </row>
    <row r="54" spans="1:39" ht="15" thickBot="1" x14ac:dyDescent="0.25">
      <c r="A54" s="132">
        <f t="shared" si="18"/>
        <v>25</v>
      </c>
      <c r="B54" s="3" t="s">
        <v>12</v>
      </c>
      <c r="C54" s="3" t="s">
        <v>19</v>
      </c>
      <c r="D54" s="3" t="s">
        <v>75</v>
      </c>
      <c r="E54" s="3" t="s">
        <v>124</v>
      </c>
      <c r="F54" s="7">
        <v>0.19500000000000001</v>
      </c>
      <c r="G54" s="7">
        <v>0.13200000000000001</v>
      </c>
      <c r="H54" s="7">
        <v>0.106</v>
      </c>
      <c r="I54" s="7">
        <v>0.14499999999999999</v>
      </c>
      <c r="J54" s="7">
        <v>0.26900000000000002</v>
      </c>
      <c r="K54" s="7">
        <v>0.27700000000000002</v>
      </c>
      <c r="L54" s="4">
        <v>0.216</v>
      </c>
      <c r="M54" s="4">
        <v>0.26400000000000001</v>
      </c>
      <c r="N54" s="4">
        <v>0.17100000000000001</v>
      </c>
      <c r="O54" s="4">
        <v>0.33</v>
      </c>
      <c r="P54" s="4">
        <v>0.11</v>
      </c>
      <c r="Q54" s="4">
        <v>0.25900000000000001</v>
      </c>
      <c r="R54" s="4">
        <v>0.10100000000000001</v>
      </c>
      <c r="S54" s="4">
        <v>0.19600000000000001</v>
      </c>
      <c r="T54" s="7"/>
      <c r="U54" s="7"/>
      <c r="V54" s="130">
        <v>0.36399999999999999</v>
      </c>
      <c r="W54" s="130">
        <v>0.254</v>
      </c>
      <c r="X54" s="130">
        <f>VLOOKUP(E54,Sheet5!$O:$Q,2,0)</f>
        <v>8.1250000000000003E-2</v>
      </c>
      <c r="Y54">
        <f>VLOOKUP(E54,Sheet5!O:P,2,0)</f>
        <v>8.1250000000000003E-2</v>
      </c>
      <c r="Z54" s="73" t="str">
        <f t="shared" si="19"/>
        <v>虎林蓝锦</v>
      </c>
      <c r="AA54" s="71">
        <f t="shared" si="5"/>
        <v>0</v>
      </c>
      <c r="AB54" s="71">
        <f t="shared" si="6"/>
        <v>364</v>
      </c>
      <c r="AC54" s="71">
        <f t="shared" si="7"/>
        <v>254</v>
      </c>
      <c r="AD54">
        <f t="shared" si="8"/>
        <v>-1</v>
      </c>
      <c r="AE54">
        <f t="shared" si="9"/>
        <v>0.35315985130111516</v>
      </c>
      <c r="AF54">
        <f t="shared" si="10"/>
        <v>-8.3032490974729312E-2</v>
      </c>
      <c r="AG54" s="71">
        <f t="shared" si="11"/>
        <v>81.25</v>
      </c>
      <c r="AH54" s="71">
        <f t="shared" si="12"/>
        <v>216</v>
      </c>
      <c r="AI54">
        <f t="shared" si="13"/>
        <v>-0.62384259259259256</v>
      </c>
      <c r="AJ54">
        <f t="shared" si="14"/>
        <v>81.25</v>
      </c>
      <c r="AK54">
        <f t="shared" si="15"/>
        <v>1</v>
      </c>
      <c r="AL54" s="73" t="str">
        <f t="shared" si="16"/>
        <v>虎林蓝锦</v>
      </c>
      <c r="AM54" s="73" t="str">
        <f t="shared" si="17"/>
        <v>双鸭山外埠所</v>
      </c>
    </row>
    <row r="55" spans="1:39" ht="15" thickBot="1" x14ac:dyDescent="0.25">
      <c r="A55" s="132">
        <f t="shared" si="18"/>
        <v>20</v>
      </c>
      <c r="B55" s="3" t="s">
        <v>12</v>
      </c>
      <c r="C55" s="3" t="s">
        <v>19</v>
      </c>
      <c r="D55" s="3" t="s">
        <v>75</v>
      </c>
      <c r="E55" s="3" t="s">
        <v>191</v>
      </c>
      <c r="F55" s="6">
        <v>0.36499999999999999</v>
      </c>
      <c r="G55" s="6">
        <v>0.23400000000000001</v>
      </c>
      <c r="H55" s="6">
        <v>0.23499999999999999</v>
      </c>
      <c r="I55" s="6">
        <v>0.11700000000000001</v>
      </c>
      <c r="J55" s="6">
        <v>0.36</v>
      </c>
      <c r="K55" s="6">
        <v>0.24</v>
      </c>
      <c r="L55" s="6">
        <v>0.35</v>
      </c>
      <c r="M55" s="6">
        <v>0.32</v>
      </c>
      <c r="N55" s="6">
        <v>0.26400000000000001</v>
      </c>
      <c r="O55" s="6">
        <v>0.34699999999999998</v>
      </c>
      <c r="P55" s="5">
        <v>0.36099999999999999</v>
      </c>
      <c r="Q55" s="5">
        <v>0.14699999999999999</v>
      </c>
      <c r="R55" s="5">
        <v>0.36499999999999999</v>
      </c>
      <c r="S55" s="5">
        <v>0.25600000000000001</v>
      </c>
      <c r="T55" s="5">
        <v>0.20799999999999999</v>
      </c>
      <c r="U55" s="5">
        <v>0.19600000000000001</v>
      </c>
      <c r="V55" s="129">
        <v>0.35</v>
      </c>
      <c r="W55" s="129">
        <v>0.26</v>
      </c>
      <c r="X55" s="129">
        <f>VLOOKUP(E55,Sheet5!$O:$Q,2,0)</f>
        <v>0.24124999999999999</v>
      </c>
      <c r="Y55">
        <f>VLOOKUP(E55,Sheet5!O:P,2,0)</f>
        <v>0.24124999999999999</v>
      </c>
      <c r="Z55" s="73" t="str">
        <f t="shared" si="19"/>
        <v>萝北金宏旺</v>
      </c>
      <c r="AA55" s="71">
        <f t="shared" si="5"/>
        <v>196</v>
      </c>
      <c r="AB55" s="71">
        <f t="shared" si="6"/>
        <v>350</v>
      </c>
      <c r="AC55" s="71">
        <f t="shared" si="7"/>
        <v>260</v>
      </c>
      <c r="AD55">
        <f t="shared" si="8"/>
        <v>0.67521367521367526</v>
      </c>
      <c r="AE55">
        <f t="shared" si="9"/>
        <v>-2.777777777777779E-2</v>
      </c>
      <c r="AF55">
        <f t="shared" si="10"/>
        <v>8.3333333333333481E-2</v>
      </c>
      <c r="AG55" s="71">
        <f t="shared" si="11"/>
        <v>241.25</v>
      </c>
      <c r="AH55" s="71">
        <f t="shared" si="12"/>
        <v>350</v>
      </c>
      <c r="AI55">
        <f t="shared" si="13"/>
        <v>-0.31071428571428572</v>
      </c>
      <c r="AJ55">
        <f t="shared" si="14"/>
        <v>241.25</v>
      </c>
      <c r="AK55">
        <f t="shared" si="15"/>
        <v>1</v>
      </c>
      <c r="AL55" s="73" t="str">
        <f t="shared" si="16"/>
        <v>萝北金宏旺</v>
      </c>
      <c r="AM55" s="73" t="str">
        <f t="shared" si="17"/>
        <v>双鸭山外埠所</v>
      </c>
    </row>
    <row r="56" spans="1:39" ht="15" thickBot="1" x14ac:dyDescent="0.25">
      <c r="A56">
        <f>RANK(AI56,$AI$56:$AI$79)</f>
        <v>24</v>
      </c>
      <c r="B56" s="3" t="s">
        <v>20</v>
      </c>
      <c r="C56" s="3" t="s">
        <v>21</v>
      </c>
      <c r="D56" s="3" t="s">
        <v>84</v>
      </c>
      <c r="E56" s="3" t="s">
        <v>125</v>
      </c>
      <c r="F56" s="4">
        <v>0.247</v>
      </c>
      <c r="G56" s="4">
        <v>0.23100000000000001</v>
      </c>
      <c r="H56" s="4">
        <v>0.109</v>
      </c>
      <c r="I56" s="4">
        <v>0.156</v>
      </c>
      <c r="J56" s="4">
        <v>0.159</v>
      </c>
      <c r="K56" s="4">
        <v>6.6000000000000003E-2</v>
      </c>
      <c r="L56" s="4">
        <v>0.441</v>
      </c>
      <c r="M56" s="4">
        <v>9.9000000000000005E-2</v>
      </c>
      <c r="N56" s="4">
        <v>0.23200000000000001</v>
      </c>
      <c r="O56" s="4">
        <v>4.4999999999999998E-2</v>
      </c>
      <c r="P56" s="4">
        <v>0.26300000000000001</v>
      </c>
      <c r="Q56" s="4">
        <v>0.23499999999999999</v>
      </c>
      <c r="R56" s="4">
        <v>0.3</v>
      </c>
      <c r="S56" s="4">
        <v>0.18099999999999999</v>
      </c>
      <c r="T56" s="4">
        <v>0.2</v>
      </c>
      <c r="U56" s="4">
        <v>0.15</v>
      </c>
      <c r="V56" s="128">
        <v>0.28799999999999998</v>
      </c>
      <c r="W56" s="128">
        <v>0.17299999999999999</v>
      </c>
      <c r="X56" s="128">
        <f>VLOOKUP(E56,Sheet5!$O:$Q,2,0)</f>
        <v>0.23125000000000001</v>
      </c>
      <c r="Y56">
        <f>VLOOKUP(E56,Sheet5!O:P,2,0)</f>
        <v>0.23125000000000001</v>
      </c>
      <c r="Z56" s="73" t="str">
        <f t="shared" si="19"/>
        <v>海拉鑫福达</v>
      </c>
      <c r="AA56" s="71">
        <f t="shared" si="5"/>
        <v>150</v>
      </c>
      <c r="AB56" s="71">
        <f t="shared" si="6"/>
        <v>288</v>
      </c>
      <c r="AC56" s="71">
        <f t="shared" si="7"/>
        <v>173</v>
      </c>
      <c r="AD56">
        <f t="shared" si="8"/>
        <v>-3.8461538461538547E-2</v>
      </c>
      <c r="AE56">
        <f t="shared" si="9"/>
        <v>0.81132075471698095</v>
      </c>
      <c r="AF56">
        <f t="shared" si="10"/>
        <v>1.6212121212121211</v>
      </c>
      <c r="AG56" s="71">
        <f t="shared" si="11"/>
        <v>231.25</v>
      </c>
      <c r="AH56" s="71">
        <f t="shared" si="12"/>
        <v>441</v>
      </c>
      <c r="AI56">
        <f t="shared" si="13"/>
        <v>-0.4756235827664399</v>
      </c>
      <c r="AJ56">
        <f t="shared" si="14"/>
        <v>231.25</v>
      </c>
      <c r="AK56">
        <f t="shared" si="15"/>
        <v>1</v>
      </c>
      <c r="AL56" s="73" t="str">
        <f t="shared" si="16"/>
        <v>海拉鑫福达</v>
      </c>
      <c r="AM56" s="73" t="str">
        <f t="shared" si="17"/>
        <v>海拉尔城区所</v>
      </c>
    </row>
    <row r="57" spans="1:39" ht="15" thickBot="1" x14ac:dyDescent="0.25">
      <c r="A57">
        <f t="shared" ref="A57:A79" si="20">RANK(AI57,$AI$56:$AI$79)</f>
        <v>12</v>
      </c>
      <c r="B57" s="3" t="s">
        <v>20</v>
      </c>
      <c r="C57" s="3" t="s">
        <v>21</v>
      </c>
      <c r="D57" s="3" t="s">
        <v>84</v>
      </c>
      <c r="E57" s="3" t="s">
        <v>126</v>
      </c>
      <c r="F57" s="5">
        <v>0.35499999999999998</v>
      </c>
      <c r="G57" s="5">
        <v>0.28100000000000003</v>
      </c>
      <c r="H57" s="5">
        <v>0.20300000000000001</v>
      </c>
      <c r="I57" s="5">
        <v>0.223</v>
      </c>
      <c r="J57" s="5">
        <v>0.41199999999999998</v>
      </c>
      <c r="K57" s="5">
        <v>0.106</v>
      </c>
      <c r="L57" s="5">
        <v>0.44800000000000001</v>
      </c>
      <c r="M57" s="5">
        <v>0.27</v>
      </c>
      <c r="N57" s="5">
        <v>0.39700000000000002</v>
      </c>
      <c r="O57" s="5">
        <v>0.22500000000000001</v>
      </c>
      <c r="P57" s="5">
        <v>0.437</v>
      </c>
      <c r="Q57" s="5">
        <v>0.21</v>
      </c>
      <c r="R57" s="5">
        <v>0.27800000000000002</v>
      </c>
      <c r="S57" s="5">
        <v>0.27</v>
      </c>
      <c r="T57" s="5">
        <v>0.2</v>
      </c>
      <c r="U57" s="5">
        <v>0.15</v>
      </c>
      <c r="V57" s="129">
        <v>0.26500000000000001</v>
      </c>
      <c r="W57" s="129">
        <v>0.221</v>
      </c>
      <c r="X57" s="129">
        <f>VLOOKUP(E57,Sheet5!$O:$Q,2,0)</f>
        <v>0.39750000000000002</v>
      </c>
      <c r="Y57">
        <f>VLOOKUP(E57,Sheet5!O:P,2,0)</f>
        <v>0.39750000000000002</v>
      </c>
      <c r="Z57" s="73" t="str">
        <f t="shared" si="19"/>
        <v>海拉泰运</v>
      </c>
      <c r="AA57" s="71">
        <f t="shared" si="5"/>
        <v>150</v>
      </c>
      <c r="AB57" s="71">
        <f t="shared" si="6"/>
        <v>265</v>
      </c>
      <c r="AC57" s="71">
        <f t="shared" si="7"/>
        <v>221</v>
      </c>
      <c r="AD57">
        <f t="shared" si="8"/>
        <v>-0.32735426008968616</v>
      </c>
      <c r="AE57">
        <f t="shared" si="9"/>
        <v>-0.35679611650485432</v>
      </c>
      <c r="AF57">
        <f t="shared" si="10"/>
        <v>1.0849056603773586</v>
      </c>
      <c r="AG57" s="71">
        <f t="shared" si="11"/>
        <v>397.5</v>
      </c>
      <c r="AH57" s="71">
        <f t="shared" si="12"/>
        <v>448</v>
      </c>
      <c r="AI57">
        <f t="shared" si="13"/>
        <v>-0.1127232142857143</v>
      </c>
      <c r="AJ57">
        <f t="shared" si="14"/>
        <v>397.5</v>
      </c>
      <c r="AK57">
        <f t="shared" si="15"/>
        <v>1</v>
      </c>
      <c r="AL57" s="73" t="str">
        <f t="shared" si="16"/>
        <v>海拉泰运</v>
      </c>
      <c r="AM57" s="73" t="str">
        <f t="shared" si="17"/>
        <v>海拉尔城区所</v>
      </c>
    </row>
    <row r="58" spans="1:39" ht="15" thickBot="1" x14ac:dyDescent="0.25">
      <c r="A58">
        <f t="shared" si="20"/>
        <v>19</v>
      </c>
      <c r="B58" s="3" t="s">
        <v>20</v>
      </c>
      <c r="C58" s="3" t="s">
        <v>22</v>
      </c>
      <c r="D58" s="3" t="s">
        <v>75</v>
      </c>
      <c r="E58" s="3" t="s">
        <v>127</v>
      </c>
      <c r="F58" s="5">
        <v>0.34</v>
      </c>
      <c r="G58" s="5">
        <v>0.17</v>
      </c>
      <c r="H58" s="5">
        <v>0.16</v>
      </c>
      <c r="I58" s="5">
        <v>0.21099999999999999</v>
      </c>
      <c r="J58" s="5">
        <v>0.23499999999999999</v>
      </c>
      <c r="K58" s="5">
        <v>0.122</v>
      </c>
      <c r="L58" s="5">
        <v>0.40200000000000002</v>
      </c>
      <c r="M58" s="5">
        <v>0.23699999999999999</v>
      </c>
      <c r="N58" s="5">
        <v>0.30499999999999999</v>
      </c>
      <c r="O58" s="5">
        <v>0.25</v>
      </c>
      <c r="P58" s="5">
        <v>0.23</v>
      </c>
      <c r="Q58" s="5">
        <v>0.25600000000000001</v>
      </c>
      <c r="R58" s="5">
        <v>0.40200000000000002</v>
      </c>
      <c r="S58" s="5">
        <v>0.2</v>
      </c>
      <c r="T58" s="5">
        <v>0.105</v>
      </c>
      <c r="U58" s="5">
        <v>0.17699999999999999</v>
      </c>
      <c r="V58" s="129">
        <v>0.27100000000000002</v>
      </c>
      <c r="W58" s="129">
        <v>0.22700000000000001</v>
      </c>
      <c r="X58" s="129">
        <f>VLOOKUP(E58,Sheet5!$O:$Q,2,0)</f>
        <v>0.3</v>
      </c>
      <c r="Y58">
        <f>VLOOKUP(E58,Sheet5!O:P,2,0)</f>
        <v>0.3</v>
      </c>
      <c r="Z58" s="73" t="str">
        <f t="shared" si="19"/>
        <v>满洲万泰</v>
      </c>
      <c r="AA58" s="71">
        <f t="shared" si="5"/>
        <v>177</v>
      </c>
      <c r="AB58" s="71">
        <f t="shared" si="6"/>
        <v>271</v>
      </c>
      <c r="AC58" s="71">
        <f t="shared" si="7"/>
        <v>227</v>
      </c>
      <c r="AD58">
        <f t="shared" si="8"/>
        <v>-0.16113744075829384</v>
      </c>
      <c r="AE58">
        <f t="shared" si="9"/>
        <v>0.15319148936170235</v>
      </c>
      <c r="AF58">
        <f t="shared" si="10"/>
        <v>0.86065573770491821</v>
      </c>
      <c r="AG58" s="71">
        <f t="shared" si="11"/>
        <v>300</v>
      </c>
      <c r="AH58" s="71">
        <f t="shared" si="12"/>
        <v>402</v>
      </c>
      <c r="AI58">
        <f t="shared" si="13"/>
        <v>-0.25373134328358204</v>
      </c>
      <c r="AJ58">
        <f t="shared" si="14"/>
        <v>300</v>
      </c>
      <c r="AK58">
        <f t="shared" si="15"/>
        <v>1</v>
      </c>
      <c r="AL58" s="73" t="str">
        <f t="shared" si="16"/>
        <v>满洲万泰</v>
      </c>
      <c r="AM58" s="73" t="str">
        <f t="shared" si="17"/>
        <v>呼盟外埠所</v>
      </c>
    </row>
    <row r="59" spans="1:39" ht="15" thickBot="1" x14ac:dyDescent="0.25">
      <c r="A59">
        <f t="shared" si="20"/>
        <v>14</v>
      </c>
      <c r="B59" s="3" t="s">
        <v>20</v>
      </c>
      <c r="C59" s="3" t="s">
        <v>22</v>
      </c>
      <c r="D59" s="3" t="s">
        <v>75</v>
      </c>
      <c r="E59" s="3" t="s">
        <v>128</v>
      </c>
      <c r="F59" s="4">
        <v>0.42</v>
      </c>
      <c r="G59" s="4">
        <v>0.28999999999999998</v>
      </c>
      <c r="H59" s="4">
        <v>0.24</v>
      </c>
      <c r="I59" s="4">
        <v>0.30299999999999999</v>
      </c>
      <c r="J59" s="4">
        <v>0.51300000000000001</v>
      </c>
      <c r="K59" s="4">
        <v>0.54600000000000004</v>
      </c>
      <c r="L59" s="4">
        <v>0.60799999999999998</v>
      </c>
      <c r="M59" s="4">
        <v>0.44700000000000001</v>
      </c>
      <c r="N59" s="4">
        <v>0.378</v>
      </c>
      <c r="O59" s="4">
        <v>0.55400000000000005</v>
      </c>
      <c r="P59" s="4">
        <v>0.56100000000000005</v>
      </c>
      <c r="Q59" s="4">
        <v>0.70099999999999996</v>
      </c>
      <c r="R59" s="4">
        <v>0.55800000000000005</v>
      </c>
      <c r="S59" s="4">
        <v>0.36899999999999999</v>
      </c>
      <c r="T59" s="4">
        <v>0.40899999999999997</v>
      </c>
      <c r="U59" s="4">
        <v>0.35399999999999998</v>
      </c>
      <c r="V59" s="128">
        <v>0.52500000000000002</v>
      </c>
      <c r="W59" s="128">
        <v>0.41799999999999998</v>
      </c>
      <c r="X59" s="128">
        <f>VLOOKUP(E59,Sheet5!$O:$Q,2,0)</f>
        <v>0.51375000000000004</v>
      </c>
      <c r="Y59">
        <f>VLOOKUP(E59,Sheet5!O:P,2,0)</f>
        <v>0.51375000000000004</v>
      </c>
      <c r="Z59" s="73" t="str">
        <f t="shared" si="19"/>
        <v>扎兰合益</v>
      </c>
      <c r="AA59" s="71">
        <f t="shared" si="5"/>
        <v>354</v>
      </c>
      <c r="AB59" s="71">
        <f t="shared" si="6"/>
        <v>525</v>
      </c>
      <c r="AC59" s="71">
        <f t="shared" si="7"/>
        <v>418</v>
      </c>
      <c r="AD59">
        <f t="shared" si="8"/>
        <v>0.16831683168316824</v>
      </c>
      <c r="AE59">
        <f t="shared" si="9"/>
        <v>2.3391812865497075E-2</v>
      </c>
      <c r="AF59">
        <f t="shared" si="10"/>
        <v>-0.23443223443223449</v>
      </c>
      <c r="AG59" s="71">
        <f t="shared" si="11"/>
        <v>513.75</v>
      </c>
      <c r="AH59" s="71">
        <f t="shared" si="12"/>
        <v>608</v>
      </c>
      <c r="AI59">
        <f t="shared" si="13"/>
        <v>-0.15501644736842102</v>
      </c>
      <c r="AJ59">
        <f t="shared" si="14"/>
        <v>513.75</v>
      </c>
      <c r="AK59">
        <f t="shared" si="15"/>
        <v>1</v>
      </c>
      <c r="AL59" s="73" t="str">
        <f t="shared" si="16"/>
        <v>扎兰合益</v>
      </c>
      <c r="AM59" s="73" t="str">
        <f t="shared" si="17"/>
        <v>呼盟外埠所</v>
      </c>
    </row>
    <row r="60" spans="1:39" ht="15" thickBot="1" x14ac:dyDescent="0.25">
      <c r="A60">
        <f t="shared" si="20"/>
        <v>1</v>
      </c>
      <c r="B60" s="3" t="s">
        <v>20</v>
      </c>
      <c r="C60" s="3" t="s">
        <v>22</v>
      </c>
      <c r="D60" s="3" t="s">
        <v>75</v>
      </c>
      <c r="E60" s="3" t="s">
        <v>129</v>
      </c>
      <c r="F60" s="6">
        <v>0.13</v>
      </c>
      <c r="G60" s="6">
        <v>0.06</v>
      </c>
      <c r="H60" s="6">
        <v>0.05</v>
      </c>
      <c r="I60" s="6"/>
      <c r="J60" s="5">
        <v>6.4000000000000001E-2</v>
      </c>
      <c r="K60" s="5">
        <v>0.05</v>
      </c>
      <c r="L60" s="5">
        <v>0.05</v>
      </c>
      <c r="M60" s="5">
        <v>5.1999999999999998E-2</v>
      </c>
      <c r="N60" s="5">
        <v>0.05</v>
      </c>
      <c r="O60" s="5">
        <v>6.3E-2</v>
      </c>
      <c r="P60" s="5">
        <v>0.05</v>
      </c>
      <c r="Q60" s="5">
        <v>0.1</v>
      </c>
      <c r="R60" s="5">
        <v>5.1999999999999998E-2</v>
      </c>
      <c r="S60" s="6"/>
      <c r="T60" s="5">
        <v>5.0999999999999997E-2</v>
      </c>
      <c r="U60" s="6"/>
      <c r="V60" s="131">
        <v>6.4000000000000001E-2</v>
      </c>
      <c r="W60" s="131">
        <v>0.06</v>
      </c>
      <c r="X60" s="131">
        <f>VLOOKUP(E60,Sheet5!$O:$Q,2,0)</f>
        <v>0.125</v>
      </c>
      <c r="Y60">
        <f>VLOOKUP(E60,Sheet5!O:P,2,0)</f>
        <v>0.125</v>
      </c>
      <c r="Z60" s="73" t="str">
        <f t="shared" si="19"/>
        <v>西旗跃腾达</v>
      </c>
      <c r="AA60" s="71">
        <f t="shared" si="5"/>
        <v>0</v>
      </c>
      <c r="AB60" s="71">
        <f t="shared" si="6"/>
        <v>64</v>
      </c>
      <c r="AC60" s="71">
        <f t="shared" si="7"/>
        <v>60</v>
      </c>
      <c r="AD60" t="str">
        <f t="shared" si="8"/>
        <v/>
      </c>
      <c r="AE60">
        <f t="shared" si="9"/>
        <v>0</v>
      </c>
      <c r="AF60">
        <f t="shared" si="10"/>
        <v>0.19999999999999996</v>
      </c>
      <c r="AG60" s="71">
        <f t="shared" si="11"/>
        <v>125</v>
      </c>
      <c r="AH60" s="71">
        <f t="shared" si="12"/>
        <v>50</v>
      </c>
      <c r="AI60">
        <f t="shared" si="13"/>
        <v>1.5</v>
      </c>
      <c r="AJ60">
        <f t="shared" si="14"/>
        <v>125</v>
      </c>
      <c r="AK60">
        <f t="shared" si="15"/>
        <v>1</v>
      </c>
      <c r="AL60" s="73" t="str">
        <f t="shared" si="16"/>
        <v>西旗跃腾达</v>
      </c>
      <c r="AM60" s="73" t="str">
        <f t="shared" si="17"/>
        <v>呼盟外埠所</v>
      </c>
    </row>
    <row r="61" spans="1:39" ht="15" thickBot="1" x14ac:dyDescent="0.25">
      <c r="A61">
        <f t="shared" si="20"/>
        <v>23</v>
      </c>
      <c r="B61" s="3" t="s">
        <v>20</v>
      </c>
      <c r="C61" s="3" t="s">
        <v>22</v>
      </c>
      <c r="D61" s="3" t="s">
        <v>75</v>
      </c>
      <c r="E61" s="3" t="s">
        <v>130</v>
      </c>
      <c r="F61" s="7">
        <v>0.36</v>
      </c>
      <c r="G61" s="7">
        <v>0.25</v>
      </c>
      <c r="H61" s="7">
        <v>0.2</v>
      </c>
      <c r="I61" s="7">
        <v>0.29299999999999998</v>
      </c>
      <c r="J61" s="4">
        <v>0.29499999999999998</v>
      </c>
      <c r="K61" s="4">
        <v>0.44600000000000001</v>
      </c>
      <c r="L61" s="4">
        <v>0.57599999999999996</v>
      </c>
      <c r="M61" s="4">
        <v>0.745</v>
      </c>
      <c r="N61" s="4">
        <v>0.38700000000000001</v>
      </c>
      <c r="O61" s="4">
        <v>0.22600000000000001</v>
      </c>
      <c r="P61" s="4">
        <v>0.23</v>
      </c>
      <c r="Q61" s="4">
        <v>0.33</v>
      </c>
      <c r="R61" s="4">
        <v>0.18</v>
      </c>
      <c r="S61" s="4">
        <v>0.17</v>
      </c>
      <c r="T61" s="4">
        <v>0.217</v>
      </c>
      <c r="U61" s="4">
        <v>0.20100000000000001</v>
      </c>
      <c r="V61" s="128">
        <v>0.33200000000000002</v>
      </c>
      <c r="W61" s="128">
        <v>0.28000000000000003</v>
      </c>
      <c r="X61" s="128">
        <f>VLOOKUP(E61,Sheet5!$O:$Q,2,0)</f>
        <v>0.32500000000000001</v>
      </c>
      <c r="Y61">
        <f>VLOOKUP(E61,Sheet5!O:P,2,0)</f>
        <v>0.32500000000000001</v>
      </c>
      <c r="Z61" s="73" t="str">
        <f t="shared" si="19"/>
        <v>根河乐买家</v>
      </c>
      <c r="AA61" s="71">
        <f t="shared" si="5"/>
        <v>201</v>
      </c>
      <c r="AB61" s="71">
        <f t="shared" si="6"/>
        <v>332</v>
      </c>
      <c r="AC61" s="71">
        <f t="shared" si="7"/>
        <v>280</v>
      </c>
      <c r="AD61">
        <f t="shared" si="8"/>
        <v>-0.31399317406143334</v>
      </c>
      <c r="AE61">
        <f t="shared" si="9"/>
        <v>0.12542372881355934</v>
      </c>
      <c r="AF61">
        <f t="shared" si="10"/>
        <v>-0.37219730941704032</v>
      </c>
      <c r="AG61" s="71">
        <f t="shared" si="11"/>
        <v>325</v>
      </c>
      <c r="AH61" s="71">
        <f t="shared" si="12"/>
        <v>576</v>
      </c>
      <c r="AI61">
        <f t="shared" si="13"/>
        <v>-0.43576388888888884</v>
      </c>
      <c r="AJ61">
        <f t="shared" si="14"/>
        <v>325</v>
      </c>
      <c r="AK61">
        <f t="shared" si="15"/>
        <v>1</v>
      </c>
      <c r="AL61" s="73" t="str">
        <f t="shared" si="16"/>
        <v>根河乐买家</v>
      </c>
      <c r="AM61" s="73" t="str">
        <f t="shared" si="17"/>
        <v>呼盟外埠所</v>
      </c>
    </row>
    <row r="62" spans="1:39" ht="15" thickBot="1" x14ac:dyDescent="0.25">
      <c r="A62">
        <f t="shared" si="20"/>
        <v>3</v>
      </c>
      <c r="B62" s="3" t="s">
        <v>20</v>
      </c>
      <c r="C62" s="3" t="s">
        <v>22</v>
      </c>
      <c r="D62" s="3" t="s">
        <v>75</v>
      </c>
      <c r="E62" s="3" t="s">
        <v>131</v>
      </c>
      <c r="F62" s="6">
        <v>0.45900000000000002</v>
      </c>
      <c r="G62" s="6">
        <v>0.27</v>
      </c>
      <c r="H62" s="6">
        <v>0.18</v>
      </c>
      <c r="I62" s="6">
        <v>0.30099999999999999</v>
      </c>
      <c r="J62" s="5">
        <v>0.51100000000000001</v>
      </c>
      <c r="K62" s="5">
        <v>0.43799999999999994</v>
      </c>
      <c r="L62" s="5">
        <v>0.61399999999999999</v>
      </c>
      <c r="M62" s="5">
        <v>0.68500000000000005</v>
      </c>
      <c r="N62" s="5">
        <v>0.39</v>
      </c>
      <c r="O62" s="5">
        <v>0.55400000000000005</v>
      </c>
      <c r="P62" s="5">
        <v>0.52900000000000003</v>
      </c>
      <c r="Q62" s="5">
        <v>0.496</v>
      </c>
      <c r="R62" s="5">
        <v>0.33700000000000002</v>
      </c>
      <c r="S62" s="5">
        <v>0.32</v>
      </c>
      <c r="T62" s="5">
        <v>0.29299999999999998</v>
      </c>
      <c r="U62" s="5">
        <v>0.27500000000000002</v>
      </c>
      <c r="V62" s="129">
        <v>0.54700000000000004</v>
      </c>
      <c r="W62" s="129">
        <v>0.39400000000000002</v>
      </c>
      <c r="X62" s="129">
        <f>VLOOKUP(E62,Sheet5!$O:$Q,2,0)</f>
        <v>0.8</v>
      </c>
      <c r="Y62">
        <f>VLOOKUP(E62,Sheet5!O:P,2,0)</f>
        <v>0.8</v>
      </c>
      <c r="Z62" s="73" t="str">
        <f t="shared" si="19"/>
        <v>阿荣浩睿</v>
      </c>
      <c r="AA62" s="71">
        <f t="shared" si="5"/>
        <v>275</v>
      </c>
      <c r="AB62" s="71">
        <f t="shared" si="6"/>
        <v>547</v>
      </c>
      <c r="AC62" s="71">
        <f t="shared" si="7"/>
        <v>394</v>
      </c>
      <c r="AD62">
        <f t="shared" si="8"/>
        <v>-8.6378737541528139E-2</v>
      </c>
      <c r="AE62">
        <f t="shared" si="9"/>
        <v>7.0450097847358117E-2</v>
      </c>
      <c r="AF62">
        <f t="shared" si="10"/>
        <v>-0.10045662100456609</v>
      </c>
      <c r="AG62" s="71">
        <f t="shared" si="11"/>
        <v>800</v>
      </c>
      <c r="AH62" s="71">
        <f t="shared" si="12"/>
        <v>614</v>
      </c>
      <c r="AI62">
        <f t="shared" si="13"/>
        <v>0.30293159609120512</v>
      </c>
      <c r="AJ62">
        <f t="shared" si="14"/>
        <v>800</v>
      </c>
      <c r="AK62">
        <f t="shared" si="15"/>
        <v>1</v>
      </c>
      <c r="AL62" s="73" t="str">
        <f t="shared" si="16"/>
        <v>阿荣浩睿</v>
      </c>
      <c r="AM62" s="73" t="str">
        <f t="shared" si="17"/>
        <v>呼盟外埠所</v>
      </c>
    </row>
    <row r="63" spans="1:39" ht="15" thickBot="1" x14ac:dyDescent="0.25">
      <c r="A63">
        <f t="shared" si="20"/>
        <v>11</v>
      </c>
      <c r="B63" s="3" t="s">
        <v>20</v>
      </c>
      <c r="C63" s="3" t="s">
        <v>22</v>
      </c>
      <c r="D63" s="3" t="s">
        <v>75</v>
      </c>
      <c r="E63" s="3" t="s">
        <v>132</v>
      </c>
      <c r="F63" s="7">
        <v>0.23799999999999999</v>
      </c>
      <c r="G63" s="7">
        <v>0.11</v>
      </c>
      <c r="H63" s="7">
        <v>0.1</v>
      </c>
      <c r="I63" s="7">
        <v>5.0000000000000001E-3</v>
      </c>
      <c r="J63" s="7">
        <v>0.10299999999999999</v>
      </c>
      <c r="K63" s="7">
        <v>5.8000000000000003E-2</v>
      </c>
      <c r="L63" s="7">
        <v>0.14000000000000001</v>
      </c>
      <c r="M63" s="7">
        <v>0.05</v>
      </c>
      <c r="N63" s="7">
        <v>8.4000000000000005E-2</v>
      </c>
      <c r="O63" s="4">
        <v>0.2</v>
      </c>
      <c r="P63" s="4">
        <v>0.20499999999999999</v>
      </c>
      <c r="Q63" s="4">
        <v>0.105</v>
      </c>
      <c r="R63" s="4">
        <v>0.21299999999999999</v>
      </c>
      <c r="S63" s="4">
        <v>6.4000000000000001E-2</v>
      </c>
      <c r="T63" s="4">
        <v>0.08</v>
      </c>
      <c r="U63" s="4">
        <v>0.08</v>
      </c>
      <c r="V63" s="128">
        <v>0.10299999999999999</v>
      </c>
      <c r="W63" s="128">
        <v>0.106</v>
      </c>
      <c r="X63" s="128">
        <f>VLOOKUP(E63,Sheet5!$O:$Q,2,0)</f>
        <v>0.125</v>
      </c>
      <c r="Y63">
        <f>VLOOKUP(E63,Sheet5!O:P,2,0)</f>
        <v>0.125</v>
      </c>
      <c r="Z63" s="73" t="str">
        <f t="shared" si="19"/>
        <v>伊敏馨圣</v>
      </c>
      <c r="AA63" s="71">
        <f t="shared" si="5"/>
        <v>80</v>
      </c>
      <c r="AB63" s="71">
        <f t="shared" si="6"/>
        <v>103</v>
      </c>
      <c r="AC63" s="71">
        <f t="shared" si="7"/>
        <v>106</v>
      </c>
      <c r="AD63">
        <f t="shared" si="8"/>
        <v>15</v>
      </c>
      <c r="AE63">
        <f t="shared" si="9"/>
        <v>0</v>
      </c>
      <c r="AF63">
        <f t="shared" si="10"/>
        <v>0.8275862068965516</v>
      </c>
      <c r="AG63" s="71">
        <f t="shared" si="11"/>
        <v>125</v>
      </c>
      <c r="AH63" s="71">
        <f t="shared" si="12"/>
        <v>140</v>
      </c>
      <c r="AI63">
        <f t="shared" si="13"/>
        <v>-0.1071428571428571</v>
      </c>
      <c r="AJ63">
        <f t="shared" si="14"/>
        <v>125</v>
      </c>
      <c r="AK63">
        <f t="shared" si="15"/>
        <v>1</v>
      </c>
      <c r="AL63" s="73" t="str">
        <f t="shared" si="16"/>
        <v>伊敏馨圣</v>
      </c>
      <c r="AM63" s="73" t="str">
        <f t="shared" si="17"/>
        <v>呼盟外埠所</v>
      </c>
    </row>
    <row r="64" spans="1:39" ht="15" thickBot="1" x14ac:dyDescent="0.25">
      <c r="A64">
        <f t="shared" si="20"/>
        <v>6</v>
      </c>
      <c r="B64" s="3" t="s">
        <v>20</v>
      </c>
      <c r="C64" s="3" t="s">
        <v>22</v>
      </c>
      <c r="D64" s="3" t="s">
        <v>75</v>
      </c>
      <c r="E64" s="3" t="s">
        <v>133</v>
      </c>
      <c r="F64" s="6">
        <v>0.3</v>
      </c>
      <c r="G64" s="6">
        <v>0.28999999999999998</v>
      </c>
      <c r="H64" s="6">
        <v>0.18</v>
      </c>
      <c r="I64" s="6">
        <v>0.253</v>
      </c>
      <c r="J64" s="6">
        <v>0.42799999999999999</v>
      </c>
      <c r="K64" s="6">
        <v>0.40500000000000003</v>
      </c>
      <c r="L64" s="6">
        <v>0.51200000000000001</v>
      </c>
      <c r="M64" s="6">
        <v>0.43</v>
      </c>
      <c r="N64" s="6">
        <v>0.245</v>
      </c>
      <c r="O64" s="6">
        <v>0.38500000000000001</v>
      </c>
      <c r="P64" s="6">
        <v>0.501</v>
      </c>
      <c r="Q64" s="6">
        <v>0.3</v>
      </c>
      <c r="R64" s="6">
        <v>0.17100000000000001</v>
      </c>
      <c r="S64" s="5">
        <v>0.2</v>
      </c>
      <c r="T64" s="5">
        <v>0.183</v>
      </c>
      <c r="U64" s="5">
        <v>0.20300000000000001</v>
      </c>
      <c r="V64" s="129">
        <v>0.42899999999999999</v>
      </c>
      <c r="W64" s="129">
        <v>0.28499999999999998</v>
      </c>
      <c r="X64" s="129">
        <f>VLOOKUP(E64,Sheet5!$O:$Q,2,0)</f>
        <v>0.59250000000000003</v>
      </c>
      <c r="Y64">
        <f>VLOOKUP(E64,Sheet5!O:P,2,0)</f>
        <v>0.59250000000000003</v>
      </c>
      <c r="Z64" s="73" t="str">
        <f t="shared" si="19"/>
        <v>牙克丰远</v>
      </c>
      <c r="AA64" s="71">
        <f t="shared" si="5"/>
        <v>203</v>
      </c>
      <c r="AB64" s="71">
        <f t="shared" si="6"/>
        <v>429</v>
      </c>
      <c r="AC64" s="71">
        <f t="shared" si="7"/>
        <v>285</v>
      </c>
      <c r="AD64">
        <f t="shared" si="8"/>
        <v>-0.19762845849802368</v>
      </c>
      <c r="AE64">
        <f t="shared" si="9"/>
        <v>2.3364485981307581E-3</v>
      </c>
      <c r="AF64">
        <f t="shared" si="10"/>
        <v>-0.29629629629629639</v>
      </c>
      <c r="AG64" s="71">
        <f t="shared" si="11"/>
        <v>592.5</v>
      </c>
      <c r="AH64" s="71">
        <f t="shared" si="12"/>
        <v>512</v>
      </c>
      <c r="AI64">
        <f t="shared" si="13"/>
        <v>0.1572265625</v>
      </c>
      <c r="AJ64">
        <f t="shared" si="14"/>
        <v>592.5</v>
      </c>
      <c r="AK64">
        <f t="shared" si="15"/>
        <v>1</v>
      </c>
      <c r="AL64" s="73" t="str">
        <f t="shared" si="16"/>
        <v>牙克丰远</v>
      </c>
      <c r="AM64" s="73" t="str">
        <f t="shared" si="17"/>
        <v>呼盟外埠所</v>
      </c>
    </row>
    <row r="65" spans="1:39" ht="15" thickBot="1" x14ac:dyDescent="0.25">
      <c r="A65">
        <f t="shared" si="20"/>
        <v>5</v>
      </c>
      <c r="B65" s="3" t="s">
        <v>20</v>
      </c>
      <c r="C65" s="3" t="s">
        <v>23</v>
      </c>
      <c r="D65" s="3" t="s">
        <v>73</v>
      </c>
      <c r="E65" s="3" t="s">
        <v>134</v>
      </c>
      <c r="F65" s="5">
        <v>0.29599999999999999</v>
      </c>
      <c r="G65" s="5">
        <v>0.27</v>
      </c>
      <c r="H65" s="5">
        <v>0.28499999999999998</v>
      </c>
      <c r="I65" s="5">
        <v>0.28899999999999998</v>
      </c>
      <c r="J65" s="5">
        <v>0.47899999999999998</v>
      </c>
      <c r="K65" s="5">
        <v>0.51100000000000001</v>
      </c>
      <c r="L65" s="5">
        <v>0.55900000000000005</v>
      </c>
      <c r="M65" s="5">
        <v>0.86</v>
      </c>
      <c r="N65" s="5">
        <v>0.60099999999999998</v>
      </c>
      <c r="O65" s="5">
        <v>0.90400000000000003</v>
      </c>
      <c r="P65" s="5">
        <v>0.53</v>
      </c>
      <c r="Q65" s="5">
        <v>0.495</v>
      </c>
      <c r="R65" s="5">
        <v>0.52</v>
      </c>
      <c r="S65" s="5">
        <v>0.3</v>
      </c>
      <c r="T65" s="5">
        <v>0.315</v>
      </c>
      <c r="U65" s="5">
        <v>0.32400000000000001</v>
      </c>
      <c r="V65" s="129">
        <v>0.48</v>
      </c>
      <c r="W65" s="129">
        <v>0.435</v>
      </c>
      <c r="X65" s="129">
        <f>VLOOKUP(E65,Sheet5!$O:$Q,2,0)</f>
        <v>0.66</v>
      </c>
      <c r="Y65">
        <f>VLOOKUP(E65,Sheet5!O:P,2,0)</f>
        <v>0.66</v>
      </c>
      <c r="Z65" s="73" t="str">
        <f t="shared" si="19"/>
        <v>富区晶辉</v>
      </c>
      <c r="AA65" s="71">
        <f t="shared" si="5"/>
        <v>324</v>
      </c>
      <c r="AB65" s="71">
        <f t="shared" si="6"/>
        <v>480</v>
      </c>
      <c r="AC65" s="71">
        <f t="shared" si="7"/>
        <v>435</v>
      </c>
      <c r="AD65">
        <f t="shared" si="8"/>
        <v>0.12110726643598624</v>
      </c>
      <c r="AE65">
        <f t="shared" si="9"/>
        <v>2.0876826722338038E-3</v>
      </c>
      <c r="AF65">
        <f t="shared" si="10"/>
        <v>-0.14872798434442269</v>
      </c>
      <c r="AG65" s="71">
        <f t="shared" si="11"/>
        <v>660</v>
      </c>
      <c r="AH65" s="71">
        <f t="shared" si="12"/>
        <v>559</v>
      </c>
      <c r="AI65">
        <f t="shared" si="13"/>
        <v>0.18067978533094808</v>
      </c>
      <c r="AJ65">
        <f t="shared" si="14"/>
        <v>660</v>
      </c>
      <c r="AK65">
        <f t="shared" si="15"/>
        <v>1</v>
      </c>
      <c r="AL65" s="73" t="str">
        <f t="shared" si="16"/>
        <v>富区晶辉</v>
      </c>
      <c r="AM65" s="73" t="str">
        <f t="shared" si="17"/>
        <v>龙江外埠所</v>
      </c>
    </row>
    <row r="66" spans="1:39" ht="15" thickBot="1" x14ac:dyDescent="0.25">
      <c r="A66">
        <f t="shared" si="20"/>
        <v>8</v>
      </c>
      <c r="B66" s="3" t="s">
        <v>20</v>
      </c>
      <c r="C66" s="3" t="s">
        <v>23</v>
      </c>
      <c r="D66" s="3" t="s">
        <v>73</v>
      </c>
      <c r="E66" s="3" t="s">
        <v>135</v>
      </c>
      <c r="F66" s="7">
        <v>0.32</v>
      </c>
      <c r="G66" s="7">
        <v>0.39400000000000002</v>
      </c>
      <c r="H66" s="7">
        <v>0.43</v>
      </c>
      <c r="I66" s="7">
        <v>0.42099999999999999</v>
      </c>
      <c r="J66" s="7">
        <v>0.81599999999999995</v>
      </c>
      <c r="K66" s="7">
        <v>0.66300000000000003</v>
      </c>
      <c r="L66" s="4">
        <v>0.85299999999999998</v>
      </c>
      <c r="M66" s="4">
        <v>0.77700000000000002</v>
      </c>
      <c r="N66" s="4">
        <v>0.57199999999999995</v>
      </c>
      <c r="O66" s="4">
        <v>0.70299999999999996</v>
      </c>
      <c r="P66" s="4">
        <v>0.64800000000000002</v>
      </c>
      <c r="Q66" s="4">
        <v>0.61199999999999999</v>
      </c>
      <c r="R66" s="4">
        <v>0.53600000000000003</v>
      </c>
      <c r="S66" s="4">
        <v>0.45</v>
      </c>
      <c r="T66" s="4">
        <v>0.5</v>
      </c>
      <c r="U66" s="4">
        <v>0.42099999999999999</v>
      </c>
      <c r="V66" s="128">
        <v>0.81699999999999995</v>
      </c>
      <c r="W66" s="128">
        <v>0.52700000000000002</v>
      </c>
      <c r="X66" s="128">
        <f>VLOOKUP(E66,Sheet5!$O:$Q,2,0)</f>
        <v>0.80249999999999999</v>
      </c>
      <c r="Y66">
        <f>VLOOKUP(E66,Sheet5!O:P,2,0)</f>
        <v>0.80249999999999999</v>
      </c>
      <c r="Z66" s="73" t="str">
        <f t="shared" si="19"/>
        <v>龙江文英</v>
      </c>
      <c r="AA66" s="71">
        <f t="shared" si="5"/>
        <v>421</v>
      </c>
      <c r="AB66" s="71">
        <f t="shared" si="6"/>
        <v>817</v>
      </c>
      <c r="AC66" s="71">
        <f t="shared" si="7"/>
        <v>527</v>
      </c>
      <c r="AD66">
        <f t="shared" si="8"/>
        <v>0</v>
      </c>
      <c r="AE66">
        <f t="shared" si="9"/>
        <v>1.225490196078427E-3</v>
      </c>
      <c r="AF66">
        <f t="shared" si="10"/>
        <v>-0.20512820512820518</v>
      </c>
      <c r="AG66" s="71">
        <f t="shared" si="11"/>
        <v>802.5</v>
      </c>
      <c r="AH66" s="71">
        <f t="shared" si="12"/>
        <v>853</v>
      </c>
      <c r="AI66">
        <f t="shared" si="13"/>
        <v>-5.9202813599062099E-2</v>
      </c>
      <c r="AJ66">
        <f t="shared" si="14"/>
        <v>802.5</v>
      </c>
      <c r="AK66">
        <f t="shared" si="15"/>
        <v>1</v>
      </c>
      <c r="AL66" s="73" t="str">
        <f t="shared" si="16"/>
        <v>龙江文英</v>
      </c>
      <c r="AM66" s="73" t="str">
        <f t="shared" si="17"/>
        <v>龙江外埠所</v>
      </c>
    </row>
    <row r="67" spans="1:39" ht="15" thickBot="1" x14ac:dyDescent="0.25">
      <c r="A67">
        <f t="shared" si="20"/>
        <v>17</v>
      </c>
      <c r="B67" s="3" t="s">
        <v>20</v>
      </c>
      <c r="C67" s="3" t="s">
        <v>23</v>
      </c>
      <c r="D67" s="3" t="s">
        <v>75</v>
      </c>
      <c r="E67" s="3" t="s">
        <v>136</v>
      </c>
      <c r="F67" s="4">
        <v>0.29299999999999998</v>
      </c>
      <c r="G67" s="4">
        <v>0.157</v>
      </c>
      <c r="H67" s="4">
        <v>0.214</v>
      </c>
      <c r="I67" s="4">
        <v>0.185</v>
      </c>
      <c r="J67" s="4">
        <v>0.35</v>
      </c>
      <c r="K67" s="4">
        <v>0.24099999999999999</v>
      </c>
      <c r="L67" s="4">
        <v>0.40699999999999997</v>
      </c>
      <c r="M67" s="4">
        <v>0.36099999999999999</v>
      </c>
      <c r="N67" s="4">
        <v>0.28599999999999998</v>
      </c>
      <c r="O67" s="4">
        <v>0.375</v>
      </c>
      <c r="P67" s="4">
        <v>0.33</v>
      </c>
      <c r="Q67" s="4">
        <v>0.29599999999999999</v>
      </c>
      <c r="R67" s="4">
        <v>0.249</v>
      </c>
      <c r="S67" s="4">
        <v>0.23</v>
      </c>
      <c r="T67" s="4">
        <v>0.22</v>
      </c>
      <c r="U67" s="4">
        <v>0.11</v>
      </c>
      <c r="V67" s="128">
        <v>4.4999999999999998E-2</v>
      </c>
      <c r="W67" s="128">
        <v>0.29699999999999999</v>
      </c>
      <c r="X67" s="128">
        <f>VLOOKUP(E67,Sheet5!$O:$Q,2,0)</f>
        <v>0.32500000000000001</v>
      </c>
      <c r="Y67">
        <f>VLOOKUP(E67,Sheet5!O:P,2,0)</f>
        <v>0.32500000000000001</v>
      </c>
      <c r="Z67" s="73" t="str">
        <f t="shared" si="19"/>
        <v>甘南润鑫龙</v>
      </c>
      <c r="AA67" s="71">
        <f t="shared" si="5"/>
        <v>110</v>
      </c>
      <c r="AB67" s="71">
        <f t="shared" si="6"/>
        <v>45</v>
      </c>
      <c r="AC67" s="71">
        <f t="shared" si="7"/>
        <v>297</v>
      </c>
      <c r="AD67">
        <f t="shared" si="8"/>
        <v>-0.40540540540540537</v>
      </c>
      <c r="AE67">
        <f t="shared" si="9"/>
        <v>-0.87142857142857144</v>
      </c>
      <c r="AF67">
        <f t="shared" si="10"/>
        <v>0.23236514522821583</v>
      </c>
      <c r="AG67" s="71">
        <f t="shared" si="11"/>
        <v>325</v>
      </c>
      <c r="AH67" s="71">
        <f t="shared" si="12"/>
        <v>407</v>
      </c>
      <c r="AI67">
        <f t="shared" si="13"/>
        <v>-0.20147420147420148</v>
      </c>
      <c r="AJ67">
        <f t="shared" si="14"/>
        <v>325</v>
      </c>
      <c r="AK67">
        <f t="shared" si="15"/>
        <v>1</v>
      </c>
      <c r="AL67" s="73" t="str">
        <f t="shared" si="16"/>
        <v>甘南润鑫龙</v>
      </c>
      <c r="AM67" s="73" t="str">
        <f t="shared" si="17"/>
        <v>龙江外埠所</v>
      </c>
    </row>
    <row r="68" spans="1:39" ht="15" thickBot="1" x14ac:dyDescent="0.25">
      <c r="A68">
        <f t="shared" si="20"/>
        <v>9</v>
      </c>
      <c r="B68" s="3" t="s">
        <v>20</v>
      </c>
      <c r="C68" s="3" t="s">
        <v>23</v>
      </c>
      <c r="D68" s="3" t="s">
        <v>75</v>
      </c>
      <c r="E68" s="3" t="s">
        <v>190</v>
      </c>
      <c r="F68" s="5">
        <v>0.36199999999999999</v>
      </c>
      <c r="G68" s="5">
        <v>0.26100000000000001</v>
      </c>
      <c r="H68" s="5">
        <v>0.25800000000000001</v>
      </c>
      <c r="I68" s="5">
        <v>0.245</v>
      </c>
      <c r="J68" s="5">
        <v>0.36099999999999999</v>
      </c>
      <c r="K68" s="5">
        <v>0.32100000000000001</v>
      </c>
      <c r="L68" s="5">
        <v>0.48099999999999998</v>
      </c>
      <c r="M68" s="5">
        <v>0.46500000000000002</v>
      </c>
      <c r="N68" s="5">
        <v>0.32600000000000001</v>
      </c>
      <c r="O68" s="5">
        <v>0.28499999999999998</v>
      </c>
      <c r="P68" s="5">
        <v>0.38</v>
      </c>
      <c r="Q68" s="5">
        <v>0.44</v>
      </c>
      <c r="R68" s="5">
        <v>0.312</v>
      </c>
      <c r="S68" s="5">
        <v>0.26500000000000001</v>
      </c>
      <c r="T68" s="5">
        <v>0.26800000000000002</v>
      </c>
      <c r="U68" s="5">
        <v>0.21199999999999999</v>
      </c>
      <c r="V68" s="129">
        <v>0.48199999999999998</v>
      </c>
      <c r="W68" s="129">
        <v>0.34599999999999997</v>
      </c>
      <c r="X68" s="129">
        <f>VLOOKUP(E68,Sheet5!$O:$Q,2,0)</f>
        <v>0.45</v>
      </c>
      <c r="Y68">
        <f>VLOOKUP(E68,Sheet5!O:P,2,0)</f>
        <v>0.45</v>
      </c>
      <c r="Z68" s="73" t="str">
        <f t="shared" si="19"/>
        <v>泰来丰海</v>
      </c>
      <c r="AA68" s="71">
        <f t="shared" si="5"/>
        <v>212</v>
      </c>
      <c r="AB68" s="71">
        <f t="shared" si="6"/>
        <v>482</v>
      </c>
      <c r="AC68" s="71">
        <f t="shared" si="7"/>
        <v>346</v>
      </c>
      <c r="AD68">
        <f t="shared" si="8"/>
        <v>-0.13469387755102047</v>
      </c>
      <c r="AE68">
        <f t="shared" si="9"/>
        <v>0.33518005540166196</v>
      </c>
      <c r="AF68">
        <f t="shared" si="10"/>
        <v>7.7881619937694602E-2</v>
      </c>
      <c r="AG68" s="71">
        <f t="shared" si="11"/>
        <v>450</v>
      </c>
      <c r="AH68" s="71">
        <f t="shared" si="12"/>
        <v>481</v>
      </c>
      <c r="AI68">
        <f t="shared" si="13"/>
        <v>-6.4449064449064397E-2</v>
      </c>
      <c r="AJ68">
        <f t="shared" si="14"/>
        <v>450</v>
      </c>
      <c r="AK68">
        <f t="shared" si="15"/>
        <v>1</v>
      </c>
      <c r="AL68" s="73" t="str">
        <f t="shared" si="16"/>
        <v>泰来丰海</v>
      </c>
      <c r="AM68" s="73" t="str">
        <f t="shared" si="17"/>
        <v>龙江外埠所</v>
      </c>
    </row>
    <row r="69" spans="1:39" ht="15" thickBot="1" x14ac:dyDescent="0.25">
      <c r="A69">
        <f t="shared" si="20"/>
        <v>16</v>
      </c>
      <c r="B69" s="3" t="s">
        <v>20</v>
      </c>
      <c r="C69" s="3" t="s">
        <v>23</v>
      </c>
      <c r="D69" s="3" t="s">
        <v>75</v>
      </c>
      <c r="E69" s="3" t="s">
        <v>210</v>
      </c>
      <c r="F69" s="7">
        <v>0.18</v>
      </c>
      <c r="G69" s="7">
        <v>0.23799999999999999</v>
      </c>
      <c r="H69" s="7">
        <v>0.27700000000000002</v>
      </c>
      <c r="I69" s="7">
        <v>0.23699999999999999</v>
      </c>
      <c r="J69" s="7">
        <v>0.47099999999999997</v>
      </c>
      <c r="K69" s="7">
        <v>0.34599999999999997</v>
      </c>
      <c r="L69" s="7">
        <v>0.42799999999999999</v>
      </c>
      <c r="M69" s="7">
        <v>0.48099999999999998</v>
      </c>
      <c r="N69" s="7">
        <v>0.35799999999999998</v>
      </c>
      <c r="O69" s="7">
        <v>0.39500000000000002</v>
      </c>
      <c r="P69" s="7">
        <v>0.36799999999999999</v>
      </c>
      <c r="Q69" s="4">
        <v>0.46</v>
      </c>
      <c r="R69" s="4">
        <v>0.33300000000000002</v>
      </c>
      <c r="S69" s="4">
        <v>0.24</v>
      </c>
      <c r="T69" s="4">
        <v>0.1</v>
      </c>
      <c r="U69" s="4">
        <v>0.18</v>
      </c>
      <c r="V69" s="128">
        <v>0.47199999999999998</v>
      </c>
      <c r="W69" s="128">
        <v>0.05</v>
      </c>
      <c r="X69" s="128">
        <f>VLOOKUP(E69,Sheet5!$O:$Q,2,0)</f>
        <v>0.35499999999999998</v>
      </c>
      <c r="Y69">
        <f>VLOOKUP(E69,Sheet5!O:P,2,0)</f>
        <v>0.35499999999999998</v>
      </c>
      <c r="Z69" s="73" t="str">
        <f t="shared" ref="Z69:Z100" si="21">E69</f>
        <v>富裕泓淼源</v>
      </c>
      <c r="AA69" s="71">
        <f t="shared" si="5"/>
        <v>180</v>
      </c>
      <c r="AB69" s="71">
        <f t="shared" si="6"/>
        <v>472</v>
      </c>
      <c r="AC69" s="71">
        <f t="shared" si="7"/>
        <v>50</v>
      </c>
      <c r="AD69">
        <f t="shared" si="8"/>
        <v>-0.240506329113924</v>
      </c>
      <c r="AE69">
        <f t="shared" si="9"/>
        <v>2.1231422505307851E-3</v>
      </c>
      <c r="AF69">
        <f t="shared" si="10"/>
        <v>-0.8554913294797688</v>
      </c>
      <c r="AG69" s="71">
        <f t="shared" si="11"/>
        <v>355</v>
      </c>
      <c r="AH69" s="71">
        <f t="shared" si="12"/>
        <v>428</v>
      </c>
      <c r="AI69">
        <f t="shared" si="13"/>
        <v>-0.17056074766355145</v>
      </c>
      <c r="AJ69">
        <f t="shared" si="14"/>
        <v>355</v>
      </c>
      <c r="AK69">
        <f t="shared" si="15"/>
        <v>1</v>
      </c>
      <c r="AL69" s="73" t="str">
        <f t="shared" si="16"/>
        <v>富裕泓淼源</v>
      </c>
      <c r="AM69" s="73" t="str">
        <f t="shared" si="17"/>
        <v>龙江外埠所</v>
      </c>
    </row>
    <row r="70" spans="1:39" ht="15" thickBot="1" x14ac:dyDescent="0.25">
      <c r="A70">
        <f t="shared" si="20"/>
        <v>7</v>
      </c>
      <c r="B70" s="3" t="s">
        <v>20</v>
      </c>
      <c r="C70" s="3" t="s">
        <v>24</v>
      </c>
      <c r="D70" s="3" t="s">
        <v>84</v>
      </c>
      <c r="E70" s="3" t="s">
        <v>137</v>
      </c>
      <c r="F70" s="5">
        <v>0.63200000000000001</v>
      </c>
      <c r="G70" s="5">
        <v>0.37</v>
      </c>
      <c r="H70" s="5">
        <v>9.5000000000000001E-2</v>
      </c>
      <c r="I70" s="5">
        <v>0.29499999999999998</v>
      </c>
      <c r="J70" s="5">
        <v>0.52400000000000002</v>
      </c>
      <c r="K70" s="5">
        <v>0.17100000000000001</v>
      </c>
      <c r="L70" s="5">
        <v>0.46400000000000002</v>
      </c>
      <c r="M70" s="5">
        <v>0.23100000000000001</v>
      </c>
      <c r="N70" s="5">
        <v>0.26500000000000001</v>
      </c>
      <c r="O70" s="5">
        <v>0.81100000000000005</v>
      </c>
      <c r="P70" s="5">
        <v>0.27200000000000002</v>
      </c>
      <c r="Q70" s="5">
        <v>0.43</v>
      </c>
      <c r="R70" s="5">
        <v>0.27100000000000002</v>
      </c>
      <c r="S70" s="5">
        <v>0.30199999999999999</v>
      </c>
      <c r="T70" s="5">
        <v>0.2</v>
      </c>
      <c r="U70" s="5">
        <v>0.15</v>
      </c>
      <c r="V70" s="129">
        <v>0.38800000000000001</v>
      </c>
      <c r="W70" s="129">
        <v>0.32800000000000001</v>
      </c>
      <c r="X70" s="129">
        <f>VLOOKUP(E70,Sheet5!$O:$Q,2,0)</f>
        <v>0.49249999999999999</v>
      </c>
      <c r="Y70">
        <f>VLOOKUP(E70,Sheet5!O:P,2,0)</f>
        <v>0.49249999999999999</v>
      </c>
      <c r="Z70" s="73" t="str">
        <f t="shared" si="21"/>
        <v>齐市昌庆</v>
      </c>
      <c r="AA70" s="71">
        <f t="shared" si="5"/>
        <v>150</v>
      </c>
      <c r="AB70" s="71">
        <f t="shared" si="6"/>
        <v>388</v>
      </c>
      <c r="AC70" s="71">
        <f t="shared" si="7"/>
        <v>328</v>
      </c>
      <c r="AD70">
        <f t="shared" si="8"/>
        <v>-0.49152542372881358</v>
      </c>
      <c r="AE70">
        <f t="shared" si="9"/>
        <v>-0.25954198473282442</v>
      </c>
      <c r="AF70">
        <f t="shared" si="10"/>
        <v>0.91812865497076013</v>
      </c>
      <c r="AG70" s="71">
        <f t="shared" si="11"/>
        <v>492.5</v>
      </c>
      <c r="AH70" s="71">
        <f t="shared" si="12"/>
        <v>464</v>
      </c>
      <c r="AI70">
        <f t="shared" si="13"/>
        <v>6.1422413793103425E-2</v>
      </c>
      <c r="AJ70">
        <f t="shared" si="14"/>
        <v>492.5</v>
      </c>
      <c r="AK70">
        <f t="shared" si="15"/>
        <v>1</v>
      </c>
      <c r="AL70" s="73" t="str">
        <f t="shared" ref="AL70:AL111" si="22">E70</f>
        <v>齐市昌庆</v>
      </c>
      <c r="AM70" s="73" t="str">
        <f t="shared" ref="AM70:AM111" si="23">C70</f>
        <v>齐齐哈尔城区所</v>
      </c>
    </row>
    <row r="71" spans="1:39" ht="15" thickBot="1" x14ac:dyDescent="0.25">
      <c r="A71">
        <f t="shared" si="20"/>
        <v>21</v>
      </c>
      <c r="B71" s="3" t="s">
        <v>20</v>
      </c>
      <c r="C71" s="3" t="s">
        <v>24</v>
      </c>
      <c r="D71" s="3" t="s">
        <v>84</v>
      </c>
      <c r="E71" s="3" t="s">
        <v>138</v>
      </c>
      <c r="F71" s="4">
        <v>0.182</v>
      </c>
      <c r="G71" s="4">
        <v>0.25600000000000001</v>
      </c>
      <c r="H71" s="4">
        <v>0.23799999999999999</v>
      </c>
      <c r="I71" s="4">
        <v>0.26</v>
      </c>
      <c r="J71" s="4">
        <v>0.26</v>
      </c>
      <c r="K71" s="4">
        <v>0.158</v>
      </c>
      <c r="L71" s="4">
        <v>0.876</v>
      </c>
      <c r="M71" s="5">
        <v>0.255</v>
      </c>
      <c r="N71" s="5">
        <v>0.55200000000000005</v>
      </c>
      <c r="O71" s="5">
        <v>0.219</v>
      </c>
      <c r="P71" s="5">
        <v>0.61499999999999999</v>
      </c>
      <c r="Q71" s="5">
        <v>0.20699999999999999</v>
      </c>
      <c r="R71" s="5">
        <v>0.44500000000000001</v>
      </c>
      <c r="S71" s="5">
        <v>0.40200000000000002</v>
      </c>
      <c r="T71" s="5">
        <v>0.27</v>
      </c>
      <c r="U71" s="5">
        <v>0.15</v>
      </c>
      <c r="V71" s="129">
        <v>0.42299999999999999</v>
      </c>
      <c r="W71" s="129">
        <v>0.28799999999999998</v>
      </c>
      <c r="X71" s="129">
        <f>VLOOKUP(E71,Sheet5!$O:$Q,2,0)</f>
        <v>0.57999999999999996</v>
      </c>
      <c r="Y71">
        <f>VLOOKUP(E71,Sheet5!O:P,2,0)</f>
        <v>0.57999999999999996</v>
      </c>
      <c r="Z71" s="73" t="str">
        <f t="shared" si="21"/>
        <v>齐市彤祥</v>
      </c>
      <c r="AA71" s="71">
        <f t="shared" ref="AA71:AA111" si="24">(U71)*1000</f>
        <v>150</v>
      </c>
      <c r="AB71" s="71">
        <f t="shared" ref="AB71:AB111" si="25">(V71)*1000</f>
        <v>423</v>
      </c>
      <c r="AC71" s="71">
        <f t="shared" ref="AC71:AC111" si="26">(W71)*1000</f>
        <v>288</v>
      </c>
      <c r="AD71">
        <f t="shared" ref="AD71:AD111" si="27">IFERROR(U71/I71-1,"")</f>
        <v>-0.42307692307692313</v>
      </c>
      <c r="AE71">
        <f t="shared" ref="AE71:AE111" si="28">IFERROR(V71/J71-1,"")</f>
        <v>0.62692307692307692</v>
      </c>
      <c r="AF71">
        <f t="shared" ref="AF71:AF111" si="29">IFERROR(W71/K71-1,"")</f>
        <v>0.82278481012658222</v>
      </c>
      <c r="AG71" s="71">
        <f t="shared" ref="AG71:AG111" si="30">(X71)*1000</f>
        <v>580</v>
      </c>
      <c r="AH71" s="71">
        <f t="shared" ref="AH71:AH111" si="31">(L71)*1000</f>
        <v>876</v>
      </c>
      <c r="AI71">
        <f t="shared" ref="AI71:AI111" si="32">IFERROR(AG71/AH71-1,"")</f>
        <v>-0.33789954337899542</v>
      </c>
      <c r="AJ71">
        <f t="shared" ref="AJ71:AJ111" si="33">(Y71)*1000</f>
        <v>580</v>
      </c>
      <c r="AK71">
        <f t="shared" ref="AK71:AK111" si="34">IFERROR(AG71/AJ71,"")</f>
        <v>1</v>
      </c>
      <c r="AL71" s="73" t="str">
        <f t="shared" si="22"/>
        <v>齐市彤祥</v>
      </c>
      <c r="AM71" s="73" t="str">
        <f t="shared" si="23"/>
        <v>齐齐哈尔城区所</v>
      </c>
    </row>
    <row r="72" spans="1:39" ht="15" thickBot="1" x14ac:dyDescent="0.25">
      <c r="A72">
        <f t="shared" si="20"/>
        <v>13</v>
      </c>
      <c r="B72" s="3" t="s">
        <v>20</v>
      </c>
      <c r="C72" s="3" t="s">
        <v>25</v>
      </c>
      <c r="D72" s="3" t="s">
        <v>73</v>
      </c>
      <c r="E72" s="3" t="s">
        <v>139</v>
      </c>
      <c r="F72" s="4">
        <v>0.50600000000000001</v>
      </c>
      <c r="G72" s="4">
        <v>0.32</v>
      </c>
      <c r="H72" s="4">
        <v>0.371</v>
      </c>
      <c r="I72" s="4">
        <v>0.34599999999999997</v>
      </c>
      <c r="J72" s="4">
        <v>0.56200000000000006</v>
      </c>
      <c r="K72" s="4">
        <v>0.55400000000000005</v>
      </c>
      <c r="L72" s="4">
        <v>0.66300000000000003</v>
      </c>
      <c r="M72" s="4">
        <v>0.59799999999999998</v>
      </c>
      <c r="N72" s="4">
        <v>0.316</v>
      </c>
      <c r="O72" s="4">
        <v>0.47099999999999997</v>
      </c>
      <c r="P72" s="4">
        <v>0.44500000000000001</v>
      </c>
      <c r="Q72" s="4">
        <v>0.52500000000000002</v>
      </c>
      <c r="R72" s="4">
        <v>0.45700000000000002</v>
      </c>
      <c r="S72" s="4">
        <v>0.33</v>
      </c>
      <c r="T72" s="4">
        <v>0.29799999999999999</v>
      </c>
      <c r="U72" s="4">
        <v>0.28499999999999998</v>
      </c>
      <c r="V72" s="128">
        <v>0.56299999999999994</v>
      </c>
      <c r="W72" s="128">
        <v>0.34</v>
      </c>
      <c r="X72" s="128">
        <f>VLOOKUP(E72,Sheet5!$O:$Q,2,0)</f>
        <v>0.58750000000000002</v>
      </c>
      <c r="Y72">
        <f>VLOOKUP(E72,Sheet5!O:P,2,0)</f>
        <v>0.58750000000000002</v>
      </c>
      <c r="Z72" s="73" t="str">
        <f t="shared" si="21"/>
        <v>嫩江鑫宇新</v>
      </c>
      <c r="AA72" s="71">
        <f t="shared" si="24"/>
        <v>285</v>
      </c>
      <c r="AB72" s="71">
        <f t="shared" si="25"/>
        <v>563</v>
      </c>
      <c r="AC72" s="71">
        <f t="shared" si="26"/>
        <v>340</v>
      </c>
      <c r="AD72">
        <f t="shared" si="27"/>
        <v>-0.17630057803468213</v>
      </c>
      <c r="AE72">
        <f t="shared" si="28"/>
        <v>1.7793594306048099E-3</v>
      </c>
      <c r="AF72">
        <f t="shared" si="29"/>
        <v>-0.38628158844765348</v>
      </c>
      <c r="AG72" s="71">
        <f t="shared" si="30"/>
        <v>587.5</v>
      </c>
      <c r="AH72" s="71">
        <f t="shared" si="31"/>
        <v>663</v>
      </c>
      <c r="AI72">
        <f t="shared" si="32"/>
        <v>-0.11387631975867274</v>
      </c>
      <c r="AJ72">
        <f t="shared" si="33"/>
        <v>587.5</v>
      </c>
      <c r="AK72">
        <f t="shared" si="34"/>
        <v>1</v>
      </c>
      <c r="AL72" s="73" t="str">
        <f t="shared" si="22"/>
        <v>嫩江鑫宇新</v>
      </c>
      <c r="AM72" s="73" t="str">
        <f t="shared" si="23"/>
        <v>兴安外埠所</v>
      </c>
    </row>
    <row r="73" spans="1:39" ht="15" thickBot="1" x14ac:dyDescent="0.25">
      <c r="A73">
        <f t="shared" si="20"/>
        <v>2</v>
      </c>
      <c r="B73" s="3" t="s">
        <v>20</v>
      </c>
      <c r="C73" s="3" t="s">
        <v>25</v>
      </c>
      <c r="D73" s="3" t="s">
        <v>73</v>
      </c>
      <c r="E73" s="3" t="s">
        <v>140</v>
      </c>
      <c r="F73" s="5">
        <v>0.18</v>
      </c>
      <c r="G73" s="5">
        <v>0.27</v>
      </c>
      <c r="H73" s="5">
        <v>0.22</v>
      </c>
      <c r="I73" s="5">
        <v>0.23699999999999999</v>
      </c>
      <c r="J73" s="5">
        <v>0.45800000000000002</v>
      </c>
      <c r="K73" s="5">
        <v>0.35499999999999998</v>
      </c>
      <c r="L73" s="5">
        <v>0.47</v>
      </c>
      <c r="M73" s="5">
        <v>0.48</v>
      </c>
      <c r="N73" s="5">
        <v>0.248</v>
      </c>
      <c r="O73" s="5">
        <v>0.29699999999999999</v>
      </c>
      <c r="P73" s="5">
        <v>0.46300000000000002</v>
      </c>
      <c r="Q73" s="5">
        <v>0.34699999999999998</v>
      </c>
      <c r="R73" s="5">
        <v>0.34</v>
      </c>
      <c r="S73" s="5">
        <v>0.3</v>
      </c>
      <c r="T73" s="5">
        <v>0.252</v>
      </c>
      <c r="U73" s="5">
        <v>0.216</v>
      </c>
      <c r="V73" s="129">
        <v>0.45800000000000002</v>
      </c>
      <c r="W73" s="129">
        <v>0.34</v>
      </c>
      <c r="X73" s="129">
        <f>VLOOKUP(E73,Sheet5!$O:$Q,2,0)</f>
        <v>0.72875000000000001</v>
      </c>
      <c r="Y73">
        <f>VLOOKUP(E73,Sheet5!O:P,2,0)</f>
        <v>0.72875000000000001</v>
      </c>
      <c r="Z73" s="73" t="str">
        <f t="shared" si="21"/>
        <v>讷河鑫众杰</v>
      </c>
      <c r="AA73" s="71">
        <f t="shared" si="24"/>
        <v>216</v>
      </c>
      <c r="AB73" s="71">
        <f t="shared" si="25"/>
        <v>458</v>
      </c>
      <c r="AC73" s="71">
        <f t="shared" si="26"/>
        <v>340</v>
      </c>
      <c r="AD73">
        <f t="shared" si="27"/>
        <v>-8.8607594936708778E-2</v>
      </c>
      <c r="AE73">
        <f t="shared" si="28"/>
        <v>0</v>
      </c>
      <c r="AF73">
        <f t="shared" si="29"/>
        <v>-4.2253521126760396E-2</v>
      </c>
      <c r="AG73" s="71">
        <f t="shared" si="30"/>
        <v>728.75</v>
      </c>
      <c r="AH73" s="71">
        <f t="shared" si="31"/>
        <v>470</v>
      </c>
      <c r="AI73">
        <f t="shared" si="32"/>
        <v>0.55053191489361697</v>
      </c>
      <c r="AJ73">
        <f t="shared" si="33"/>
        <v>728.75</v>
      </c>
      <c r="AK73">
        <f t="shared" si="34"/>
        <v>1</v>
      </c>
      <c r="AL73" s="73" t="str">
        <f t="shared" si="22"/>
        <v>讷河鑫众杰</v>
      </c>
      <c r="AM73" s="73" t="str">
        <f t="shared" si="23"/>
        <v>兴安外埠所</v>
      </c>
    </row>
    <row r="74" spans="1:39" ht="15" thickBot="1" x14ac:dyDescent="0.25">
      <c r="A74">
        <f t="shared" si="20"/>
        <v>20</v>
      </c>
      <c r="B74" s="3" t="s">
        <v>20</v>
      </c>
      <c r="C74" s="3" t="s">
        <v>25</v>
      </c>
      <c r="D74" s="3" t="s">
        <v>75</v>
      </c>
      <c r="E74" s="3" t="s">
        <v>141</v>
      </c>
      <c r="F74" s="4">
        <v>0.12</v>
      </c>
      <c r="G74" s="4">
        <v>0.11</v>
      </c>
      <c r="H74" s="4">
        <v>0.12</v>
      </c>
      <c r="I74" s="4">
        <v>4.7E-2</v>
      </c>
      <c r="J74" s="4">
        <v>0.08</v>
      </c>
      <c r="K74" s="4">
        <v>6.8000000000000005E-2</v>
      </c>
      <c r="L74" s="4">
        <v>0.17</v>
      </c>
      <c r="M74" s="4">
        <v>6.3E-2</v>
      </c>
      <c r="N74" s="4">
        <v>9.6000000000000002E-2</v>
      </c>
      <c r="O74" s="4">
        <v>0.153</v>
      </c>
      <c r="P74" s="4">
        <v>0.19</v>
      </c>
      <c r="Q74" s="4">
        <v>0.17499999999999999</v>
      </c>
      <c r="R74" s="4">
        <v>0.08</v>
      </c>
      <c r="S74" s="4">
        <v>7.0000000000000007E-2</v>
      </c>
      <c r="T74" s="4">
        <v>8.1000000000000003E-2</v>
      </c>
      <c r="U74" s="4">
        <v>0.08</v>
      </c>
      <c r="V74" s="128">
        <v>0.08</v>
      </c>
      <c r="W74" s="128">
        <v>0.08</v>
      </c>
      <c r="X74" s="128">
        <f>VLOOKUP(E74,Sheet5!$O:$Q,2,0)</f>
        <v>0.125</v>
      </c>
      <c r="Y74">
        <f>VLOOKUP(E74,Sheet5!O:P,2,0)</f>
        <v>0.125</v>
      </c>
      <c r="Z74" s="73" t="str">
        <f t="shared" si="21"/>
        <v>塔河塔营</v>
      </c>
      <c r="AA74" s="71">
        <f t="shared" si="24"/>
        <v>80</v>
      </c>
      <c r="AB74" s="71">
        <f t="shared" si="25"/>
        <v>80</v>
      </c>
      <c r="AC74" s="71">
        <f t="shared" si="26"/>
        <v>80</v>
      </c>
      <c r="AD74">
        <f t="shared" si="27"/>
        <v>0.7021276595744681</v>
      </c>
      <c r="AE74">
        <f t="shared" si="28"/>
        <v>0</v>
      </c>
      <c r="AF74">
        <f t="shared" si="29"/>
        <v>0.17647058823529416</v>
      </c>
      <c r="AG74" s="71">
        <f t="shared" si="30"/>
        <v>125</v>
      </c>
      <c r="AH74" s="71">
        <f t="shared" si="31"/>
        <v>170</v>
      </c>
      <c r="AI74">
        <f t="shared" si="32"/>
        <v>-0.26470588235294112</v>
      </c>
      <c r="AJ74">
        <f t="shared" si="33"/>
        <v>125</v>
      </c>
      <c r="AK74">
        <f t="shared" si="34"/>
        <v>1</v>
      </c>
      <c r="AL74" s="73" t="str">
        <f t="shared" si="22"/>
        <v>塔河塔营</v>
      </c>
      <c r="AM74" s="73" t="str">
        <f t="shared" si="23"/>
        <v>兴安外埠所</v>
      </c>
    </row>
    <row r="75" spans="1:39" ht="15" thickBot="1" x14ac:dyDescent="0.25">
      <c r="A75">
        <f t="shared" si="20"/>
        <v>18</v>
      </c>
      <c r="B75" s="3" t="s">
        <v>20</v>
      </c>
      <c r="C75" s="3" t="s">
        <v>25</v>
      </c>
      <c r="D75" s="3" t="s">
        <v>75</v>
      </c>
      <c r="E75" s="3" t="s">
        <v>142</v>
      </c>
      <c r="F75" s="5">
        <v>0.23</v>
      </c>
      <c r="G75" s="5">
        <v>0.22700000000000001</v>
      </c>
      <c r="H75" s="5">
        <v>0.26</v>
      </c>
      <c r="I75" s="5">
        <v>0.24199999999999999</v>
      </c>
      <c r="J75" s="5">
        <v>0.36499999999999999</v>
      </c>
      <c r="K75" s="5">
        <v>0.32100000000000001</v>
      </c>
      <c r="L75" s="5">
        <v>0.49099999999999999</v>
      </c>
      <c r="M75" s="5">
        <v>0.34</v>
      </c>
      <c r="N75" s="5">
        <v>0.373</v>
      </c>
      <c r="O75" s="5">
        <v>0.40100000000000002</v>
      </c>
      <c r="P75" s="5">
        <v>0.37</v>
      </c>
      <c r="Q75" s="5">
        <v>0.4</v>
      </c>
      <c r="R75" s="5">
        <v>0.3</v>
      </c>
      <c r="S75" s="5">
        <v>0.23</v>
      </c>
      <c r="T75" s="5">
        <v>0.23</v>
      </c>
      <c r="U75" s="5">
        <v>0.21</v>
      </c>
      <c r="V75" s="129">
        <v>0.38</v>
      </c>
      <c r="W75" s="129">
        <v>0.05</v>
      </c>
      <c r="X75" s="129">
        <v>0.38800000000000001</v>
      </c>
      <c r="Y75">
        <f>VLOOKUP(E75,Sheet5!O:P,2,0)</f>
        <v>0</v>
      </c>
      <c r="Z75" s="73" t="str">
        <f t="shared" si="21"/>
        <v>加奇莫北</v>
      </c>
      <c r="AA75" s="71">
        <f t="shared" si="24"/>
        <v>210</v>
      </c>
      <c r="AB75" s="71">
        <f t="shared" si="25"/>
        <v>380</v>
      </c>
      <c r="AC75" s="71">
        <f t="shared" si="26"/>
        <v>50</v>
      </c>
      <c r="AD75">
        <f t="shared" si="27"/>
        <v>-0.13223140495867769</v>
      </c>
      <c r="AE75">
        <f t="shared" si="28"/>
        <v>4.1095890410958846E-2</v>
      </c>
      <c r="AF75">
        <f t="shared" si="29"/>
        <v>-0.84423676012461057</v>
      </c>
      <c r="AG75" s="71">
        <f t="shared" si="30"/>
        <v>388</v>
      </c>
      <c r="AH75" s="71">
        <f t="shared" si="31"/>
        <v>491</v>
      </c>
      <c r="AI75">
        <f t="shared" si="32"/>
        <v>-0.20977596741344195</v>
      </c>
      <c r="AJ75">
        <f t="shared" si="33"/>
        <v>0</v>
      </c>
      <c r="AK75" t="str">
        <f t="shared" si="34"/>
        <v/>
      </c>
      <c r="AL75" s="73" t="str">
        <f t="shared" si="22"/>
        <v>加奇莫北</v>
      </c>
      <c r="AM75" s="73" t="str">
        <f t="shared" si="23"/>
        <v>兴安外埠所</v>
      </c>
    </row>
    <row r="76" spans="1:39" ht="15" thickBot="1" x14ac:dyDescent="0.25">
      <c r="A76">
        <f t="shared" si="20"/>
        <v>15</v>
      </c>
      <c r="B76" s="3" t="s">
        <v>20</v>
      </c>
      <c r="C76" s="3" t="s">
        <v>25</v>
      </c>
      <c r="D76" s="3" t="s">
        <v>75</v>
      </c>
      <c r="E76" s="3" t="s">
        <v>143</v>
      </c>
      <c r="F76" s="5">
        <v>0.18</v>
      </c>
      <c r="G76" s="5">
        <v>0.2</v>
      </c>
      <c r="H76" s="5">
        <v>0.22</v>
      </c>
      <c r="I76" s="5">
        <v>0.161</v>
      </c>
      <c r="J76" s="5">
        <v>0.27800000000000002</v>
      </c>
      <c r="K76" s="5">
        <v>0.24299999999999999</v>
      </c>
      <c r="L76" s="5">
        <v>0.35599999999999998</v>
      </c>
      <c r="M76" s="5">
        <v>0.28499999999999998</v>
      </c>
      <c r="N76" s="5">
        <v>0.19400000000000001</v>
      </c>
      <c r="O76" s="5">
        <v>0.27100000000000002</v>
      </c>
      <c r="P76" s="5">
        <v>0.23799999999999999</v>
      </c>
      <c r="Q76" s="5">
        <v>0.26300000000000001</v>
      </c>
      <c r="R76" s="5">
        <v>0.22</v>
      </c>
      <c r="S76" s="5">
        <v>0.2</v>
      </c>
      <c r="T76" s="5">
        <v>0.153</v>
      </c>
      <c r="U76" s="5">
        <v>0.15</v>
      </c>
      <c r="V76" s="129">
        <v>0.30099999999999999</v>
      </c>
      <c r="W76" s="129">
        <v>0.22</v>
      </c>
      <c r="X76" s="129">
        <f>VLOOKUP(E76,Sheet5!$O:$Q,2,0)</f>
        <v>0.3</v>
      </c>
      <c r="Y76">
        <f>VLOOKUP(E76,Sheet5!O:P,2,0)</f>
        <v>0.3</v>
      </c>
      <c r="Z76" s="73" t="str">
        <f t="shared" si="21"/>
        <v>黑河男狮</v>
      </c>
      <c r="AA76" s="71">
        <f t="shared" si="24"/>
        <v>150</v>
      </c>
      <c r="AB76" s="71">
        <f t="shared" si="25"/>
        <v>301</v>
      </c>
      <c r="AC76" s="71">
        <f t="shared" si="26"/>
        <v>220</v>
      </c>
      <c r="AD76">
        <f t="shared" si="27"/>
        <v>-6.8322981366459645E-2</v>
      </c>
      <c r="AE76">
        <f t="shared" si="28"/>
        <v>8.2733812949640217E-2</v>
      </c>
      <c r="AF76">
        <f t="shared" si="29"/>
        <v>-9.4650205761316886E-2</v>
      </c>
      <c r="AG76" s="71">
        <f t="shared" si="30"/>
        <v>300</v>
      </c>
      <c r="AH76" s="71">
        <f t="shared" si="31"/>
        <v>356</v>
      </c>
      <c r="AI76">
        <f t="shared" si="32"/>
        <v>-0.15730337078651691</v>
      </c>
      <c r="AJ76">
        <f t="shared" si="33"/>
        <v>300</v>
      </c>
      <c r="AK76">
        <f t="shared" si="34"/>
        <v>1</v>
      </c>
      <c r="AL76" s="73" t="str">
        <f t="shared" si="22"/>
        <v>黑河男狮</v>
      </c>
      <c r="AM76" s="73" t="str">
        <f t="shared" si="23"/>
        <v>兴安外埠所</v>
      </c>
    </row>
    <row r="77" spans="1:39" ht="15" thickBot="1" x14ac:dyDescent="0.25">
      <c r="A77">
        <f t="shared" si="20"/>
        <v>22</v>
      </c>
      <c r="B77" s="3" t="s">
        <v>20</v>
      </c>
      <c r="C77" s="3" t="s">
        <v>25</v>
      </c>
      <c r="D77" s="3" t="s">
        <v>75</v>
      </c>
      <c r="E77" s="3" t="s">
        <v>144</v>
      </c>
      <c r="F77" s="4">
        <v>0.19</v>
      </c>
      <c r="G77" s="4">
        <v>0.12</v>
      </c>
      <c r="H77" s="4">
        <v>0.16</v>
      </c>
      <c r="I77" s="4">
        <v>0.12</v>
      </c>
      <c r="J77" s="4">
        <v>0.215</v>
      </c>
      <c r="K77" s="4">
        <v>0.23499999999999999</v>
      </c>
      <c r="L77" s="4">
        <v>0.20799999999999999</v>
      </c>
      <c r="M77" s="4">
        <v>0.19700000000000001</v>
      </c>
      <c r="N77" s="4">
        <v>0.1</v>
      </c>
      <c r="O77" s="4">
        <v>0.17599999999999999</v>
      </c>
      <c r="P77" s="4">
        <v>0.21</v>
      </c>
      <c r="Q77" s="4">
        <v>0.122</v>
      </c>
      <c r="R77" s="4">
        <v>0.12</v>
      </c>
      <c r="S77" s="4">
        <v>0.12</v>
      </c>
      <c r="T77" s="4">
        <v>0.1</v>
      </c>
      <c r="U77" s="4">
        <v>0.1</v>
      </c>
      <c r="V77" s="128">
        <v>0.223</v>
      </c>
      <c r="W77" s="128">
        <v>0.14799999999999999</v>
      </c>
      <c r="X77" s="128">
        <f>VLOOKUP(E77,Sheet5!$O:$Q,2,0)</f>
        <v>0.125</v>
      </c>
      <c r="Y77">
        <f>VLOOKUP(E77,Sheet5!O:P,2,0)</f>
        <v>0.125</v>
      </c>
      <c r="Z77" s="73" t="str">
        <f t="shared" si="21"/>
        <v>大杨树春彤</v>
      </c>
      <c r="AA77" s="71">
        <f t="shared" si="24"/>
        <v>100</v>
      </c>
      <c r="AB77" s="71">
        <f t="shared" si="25"/>
        <v>223</v>
      </c>
      <c r="AC77" s="71">
        <f t="shared" si="26"/>
        <v>148</v>
      </c>
      <c r="AD77">
        <f t="shared" si="27"/>
        <v>-0.16666666666666663</v>
      </c>
      <c r="AE77">
        <f t="shared" si="28"/>
        <v>3.7209302325581506E-2</v>
      </c>
      <c r="AF77">
        <f t="shared" si="29"/>
        <v>-0.37021276595744679</v>
      </c>
      <c r="AG77" s="71">
        <f t="shared" si="30"/>
        <v>125</v>
      </c>
      <c r="AH77" s="71">
        <f t="shared" si="31"/>
        <v>208</v>
      </c>
      <c r="AI77">
        <f t="shared" si="32"/>
        <v>-0.39903846153846156</v>
      </c>
      <c r="AJ77">
        <f t="shared" si="33"/>
        <v>125</v>
      </c>
      <c r="AK77">
        <f t="shared" si="34"/>
        <v>1</v>
      </c>
      <c r="AL77" s="73" t="str">
        <f t="shared" si="22"/>
        <v>大杨树春彤</v>
      </c>
      <c r="AM77" s="73" t="str">
        <f t="shared" si="23"/>
        <v>兴安外埠所</v>
      </c>
    </row>
    <row r="78" spans="1:39" ht="15" thickBot="1" x14ac:dyDescent="0.25">
      <c r="A78">
        <f t="shared" si="20"/>
        <v>10</v>
      </c>
      <c r="B78" s="3" t="s">
        <v>20</v>
      </c>
      <c r="C78" s="3" t="s">
        <v>25</v>
      </c>
      <c r="D78" s="3" t="s">
        <v>75</v>
      </c>
      <c r="E78" s="3" t="s">
        <v>145</v>
      </c>
      <c r="F78" s="5">
        <v>0.15</v>
      </c>
      <c r="G78" s="5">
        <v>0.05</v>
      </c>
      <c r="H78" s="5">
        <v>8.1000000000000003E-2</v>
      </c>
      <c r="I78" s="5">
        <v>3.5000000000000003E-2</v>
      </c>
      <c r="J78" s="5">
        <v>0.107</v>
      </c>
      <c r="K78" s="5">
        <v>5.2999999999999999E-2</v>
      </c>
      <c r="L78" s="5">
        <v>0.13600000000000001</v>
      </c>
      <c r="M78" s="5">
        <v>8.5000000000000006E-2</v>
      </c>
      <c r="N78" s="5">
        <v>0.109</v>
      </c>
      <c r="O78" s="5">
        <v>0.114</v>
      </c>
      <c r="P78" s="5">
        <v>6.3E-2</v>
      </c>
      <c r="Q78" s="5">
        <v>0.11700000000000001</v>
      </c>
      <c r="R78" s="5">
        <v>6.4000000000000001E-2</v>
      </c>
      <c r="S78" s="5">
        <v>5.0999999999999997E-2</v>
      </c>
      <c r="T78" s="5">
        <v>5.0999999999999997E-2</v>
      </c>
      <c r="U78" s="5">
        <v>5.8000000000000003E-2</v>
      </c>
      <c r="V78" s="129">
        <v>6.2E-2</v>
      </c>
      <c r="W78" s="129">
        <v>7.0000000000000007E-2</v>
      </c>
      <c r="X78" s="129">
        <f>VLOOKUP(E78,Sheet5!$O:$Q,2,0)</f>
        <v>0.125</v>
      </c>
      <c r="Y78">
        <f>VLOOKUP(E78,Sheet5!O:P,2,0)</f>
        <v>0.125</v>
      </c>
      <c r="Z78" s="73" t="str">
        <f t="shared" si="21"/>
        <v>漠河慧民</v>
      </c>
      <c r="AA78" s="71">
        <f t="shared" si="24"/>
        <v>58</v>
      </c>
      <c r="AB78" s="71">
        <f t="shared" si="25"/>
        <v>62</v>
      </c>
      <c r="AC78" s="71">
        <f t="shared" si="26"/>
        <v>70</v>
      </c>
      <c r="AD78">
        <f t="shared" si="27"/>
        <v>0.65714285714285703</v>
      </c>
      <c r="AE78">
        <f t="shared" si="28"/>
        <v>-0.42056074766355145</v>
      </c>
      <c r="AF78">
        <f t="shared" si="29"/>
        <v>0.32075471698113223</v>
      </c>
      <c r="AG78" s="71">
        <f t="shared" si="30"/>
        <v>125</v>
      </c>
      <c r="AH78" s="71">
        <f t="shared" si="31"/>
        <v>136</v>
      </c>
      <c r="AI78">
        <f t="shared" si="32"/>
        <v>-8.0882352941176516E-2</v>
      </c>
      <c r="AJ78">
        <f t="shared" si="33"/>
        <v>125</v>
      </c>
      <c r="AK78">
        <f t="shared" si="34"/>
        <v>1</v>
      </c>
      <c r="AL78" s="73" t="str">
        <f t="shared" si="22"/>
        <v>漠河慧民</v>
      </c>
      <c r="AM78" s="73" t="str">
        <f t="shared" si="23"/>
        <v>兴安外埠所</v>
      </c>
    </row>
    <row r="79" spans="1:39" ht="15" thickBot="1" x14ac:dyDescent="0.25">
      <c r="A79">
        <f t="shared" si="20"/>
        <v>4</v>
      </c>
      <c r="B79" s="3" t="s">
        <v>20</v>
      </c>
      <c r="C79" s="3" t="s">
        <v>25</v>
      </c>
      <c r="D79" s="3" t="s">
        <v>75</v>
      </c>
      <c r="E79" s="3" t="s">
        <v>146</v>
      </c>
      <c r="F79" s="7">
        <v>0.45700000000000002</v>
      </c>
      <c r="G79" s="7">
        <v>0.28999999999999998</v>
      </c>
      <c r="H79" s="7">
        <v>0.26200000000000001</v>
      </c>
      <c r="I79" s="4">
        <v>0.33599999999999997</v>
      </c>
      <c r="J79" s="4">
        <v>0.52200000000000002</v>
      </c>
      <c r="K79" s="4">
        <v>0.47099999999999997</v>
      </c>
      <c r="L79" s="4">
        <v>0.626</v>
      </c>
      <c r="M79" s="4">
        <v>0.59799999999999998</v>
      </c>
      <c r="N79" s="4">
        <v>0.35299999999999998</v>
      </c>
      <c r="O79" s="4">
        <v>0.41599999999999998</v>
      </c>
      <c r="P79" s="4">
        <v>0.49</v>
      </c>
      <c r="Q79" s="4">
        <v>0.49299999999999999</v>
      </c>
      <c r="R79" s="4">
        <v>0.45200000000000001</v>
      </c>
      <c r="S79" s="4">
        <v>0.3</v>
      </c>
      <c r="T79" s="4">
        <v>0.29799999999999999</v>
      </c>
      <c r="U79" s="4">
        <v>0.255</v>
      </c>
      <c r="V79" s="128">
        <v>0.52300000000000002</v>
      </c>
      <c r="W79" s="128">
        <v>0.38300000000000001</v>
      </c>
      <c r="X79" s="128">
        <f>VLOOKUP(E79,Sheet5!$O:$Q,2,0)</f>
        <v>0.79500000000000004</v>
      </c>
      <c r="Y79">
        <f>VLOOKUP(E79,Sheet5!O:P,2,0)</f>
        <v>0.79500000000000004</v>
      </c>
      <c r="Z79" s="73" t="str">
        <f t="shared" si="21"/>
        <v>莫旗尚诚</v>
      </c>
      <c r="AA79" s="71">
        <f t="shared" si="24"/>
        <v>255</v>
      </c>
      <c r="AB79" s="71">
        <f t="shared" si="25"/>
        <v>523</v>
      </c>
      <c r="AC79" s="71">
        <f t="shared" si="26"/>
        <v>383</v>
      </c>
      <c r="AD79">
        <f t="shared" si="27"/>
        <v>-0.24107142857142849</v>
      </c>
      <c r="AE79">
        <f t="shared" si="28"/>
        <v>1.9157088122605526E-3</v>
      </c>
      <c r="AF79">
        <f t="shared" si="29"/>
        <v>-0.18683651804670909</v>
      </c>
      <c r="AG79" s="71">
        <f t="shared" si="30"/>
        <v>795</v>
      </c>
      <c r="AH79" s="71">
        <f t="shared" si="31"/>
        <v>626</v>
      </c>
      <c r="AI79">
        <f t="shared" si="32"/>
        <v>0.26996805111821076</v>
      </c>
      <c r="AJ79">
        <f t="shared" si="33"/>
        <v>795</v>
      </c>
      <c r="AK79">
        <f t="shared" si="34"/>
        <v>1</v>
      </c>
      <c r="AL79" s="73" t="str">
        <f t="shared" si="22"/>
        <v>莫旗尚诚</v>
      </c>
      <c r="AM79" s="73" t="str">
        <f t="shared" si="23"/>
        <v>兴安外埠所</v>
      </c>
    </row>
    <row r="80" spans="1:39" ht="15" thickBot="1" x14ac:dyDescent="0.25">
      <c r="A80">
        <f>RANK(AI80,$AI$80:$AI$111)</f>
        <v>24</v>
      </c>
      <c r="B80" s="3" t="s">
        <v>26</v>
      </c>
      <c r="C80" s="3" t="s">
        <v>27</v>
      </c>
      <c r="D80" s="3" t="s">
        <v>84</v>
      </c>
      <c r="E80" s="3" t="s">
        <v>147</v>
      </c>
      <c r="F80" s="7">
        <v>0.59499999999999997</v>
      </c>
      <c r="G80" s="7">
        <v>0.501</v>
      </c>
      <c r="H80" s="7">
        <v>0.50900000000000001</v>
      </c>
      <c r="I80" s="7">
        <v>0.65600000000000003</v>
      </c>
      <c r="J80" s="7">
        <v>1.073</v>
      </c>
      <c r="K80" s="7">
        <v>0.47599999999999998</v>
      </c>
      <c r="L80" s="4">
        <v>1.2070000000000001</v>
      </c>
      <c r="M80" s="4">
        <v>0.371</v>
      </c>
      <c r="N80" s="4">
        <v>0.81499999999999995</v>
      </c>
      <c r="O80" s="4">
        <v>0.56299999999999994</v>
      </c>
      <c r="P80" s="4">
        <v>0.67</v>
      </c>
      <c r="Q80" s="4">
        <v>0.47799999999999998</v>
      </c>
      <c r="R80" s="4">
        <v>0.71299999999999997</v>
      </c>
      <c r="S80" s="4">
        <v>0.56499999999999995</v>
      </c>
      <c r="T80" s="4">
        <v>0.52700000000000002</v>
      </c>
      <c r="U80" s="4">
        <v>0.54100000000000004</v>
      </c>
      <c r="V80" s="128">
        <v>1.1319999999999999</v>
      </c>
      <c r="W80" s="128">
        <v>0.60499999999999998</v>
      </c>
      <c r="X80" s="128">
        <f>VLOOKUP(E80,Sheet5!$O:$Q,2,0)</f>
        <v>0.74250000000000005</v>
      </c>
      <c r="Y80">
        <f>VLOOKUP(E80,Sheet5!O:P,2,0)</f>
        <v>0.74250000000000005</v>
      </c>
      <c r="Z80" s="73" t="str">
        <f t="shared" si="21"/>
        <v>大庆财亿</v>
      </c>
      <c r="AA80" s="71">
        <f t="shared" si="24"/>
        <v>541</v>
      </c>
      <c r="AB80" s="71">
        <f t="shared" si="25"/>
        <v>1132</v>
      </c>
      <c r="AC80" s="71">
        <f t="shared" si="26"/>
        <v>605</v>
      </c>
      <c r="AD80">
        <f t="shared" si="27"/>
        <v>-0.17530487804878048</v>
      </c>
      <c r="AE80">
        <f t="shared" si="28"/>
        <v>5.4986020503261734E-2</v>
      </c>
      <c r="AF80">
        <f t="shared" si="29"/>
        <v>0.27100840336134446</v>
      </c>
      <c r="AG80" s="71">
        <f t="shared" si="30"/>
        <v>742.5</v>
      </c>
      <c r="AH80" s="71">
        <f t="shared" si="31"/>
        <v>1207</v>
      </c>
      <c r="AI80">
        <f t="shared" si="32"/>
        <v>-0.38483844241922116</v>
      </c>
      <c r="AJ80">
        <f t="shared" si="33"/>
        <v>742.5</v>
      </c>
      <c r="AK80">
        <f t="shared" si="34"/>
        <v>1</v>
      </c>
      <c r="AL80" s="73" t="str">
        <f t="shared" si="22"/>
        <v>大庆财亿</v>
      </c>
      <c r="AM80" s="73" t="str">
        <f t="shared" si="23"/>
        <v>大庆城区东所</v>
      </c>
    </row>
    <row r="81" spans="1:39" ht="15" thickBot="1" x14ac:dyDescent="0.25">
      <c r="A81" t="e">
        <f t="shared" ref="A81:A111" si="35">RANK(AI81,$AI$80:$AI$111)</f>
        <v>#VALUE!</v>
      </c>
      <c r="B81" s="3" t="s">
        <v>26</v>
      </c>
      <c r="C81" s="3" t="s">
        <v>28</v>
      </c>
      <c r="D81" s="3" t="s">
        <v>84</v>
      </c>
      <c r="E81" s="3" t="s">
        <v>148</v>
      </c>
      <c r="F81" s="5">
        <v>4.9000000000000002E-2</v>
      </c>
      <c r="G81" s="5">
        <v>0.11700000000000001</v>
      </c>
      <c r="H81" s="5">
        <v>9.5000000000000001E-2</v>
      </c>
      <c r="I81" s="5">
        <v>0.13500000000000001</v>
      </c>
      <c r="J81" s="5">
        <v>0.153</v>
      </c>
      <c r="K81" s="5">
        <v>0.17</v>
      </c>
      <c r="L81" s="5">
        <v>0.20599999999999999</v>
      </c>
      <c r="M81" s="5">
        <v>0.19900000000000001</v>
      </c>
      <c r="N81" s="5">
        <v>0.191</v>
      </c>
      <c r="O81" s="5">
        <v>0.1</v>
      </c>
      <c r="P81" s="5">
        <v>0.16500000000000001</v>
      </c>
      <c r="Q81" s="5">
        <v>0.10199999999999999</v>
      </c>
      <c r="R81" s="5">
        <v>0.2</v>
      </c>
      <c r="S81" s="5">
        <v>9.2999999999999999E-2</v>
      </c>
      <c r="T81" s="5">
        <v>0.15</v>
      </c>
      <c r="U81" s="5">
        <v>6.3E-2</v>
      </c>
      <c r="V81" s="129">
        <v>0.151</v>
      </c>
      <c r="W81" s="129">
        <v>0.15</v>
      </c>
      <c r="X81" s="129" t="e">
        <f>VLOOKUP(E81,Sheet5!$O:$Q,2,0)</f>
        <v>#N/A</v>
      </c>
      <c r="Y81" t="e">
        <f>VLOOKUP(E81,Sheet5!O:P,2,0)</f>
        <v>#N/A</v>
      </c>
      <c r="Z81" s="73" t="str">
        <f t="shared" si="21"/>
        <v>大庆旺家财</v>
      </c>
      <c r="AA81" s="71">
        <f t="shared" si="24"/>
        <v>63</v>
      </c>
      <c r="AB81" s="71">
        <f t="shared" si="25"/>
        <v>151</v>
      </c>
      <c r="AC81" s="71">
        <f t="shared" si="26"/>
        <v>150</v>
      </c>
      <c r="AD81">
        <f t="shared" si="27"/>
        <v>-0.53333333333333344</v>
      </c>
      <c r="AE81">
        <f t="shared" si="28"/>
        <v>-1.3071895424836666E-2</v>
      </c>
      <c r="AF81">
        <f t="shared" si="29"/>
        <v>-0.11764705882352955</v>
      </c>
      <c r="AG81" s="71" t="e">
        <f t="shared" si="30"/>
        <v>#N/A</v>
      </c>
      <c r="AH81" s="71">
        <f t="shared" si="31"/>
        <v>206</v>
      </c>
      <c r="AI81" t="str">
        <f t="shared" si="32"/>
        <v/>
      </c>
      <c r="AJ81" t="e">
        <f t="shared" si="33"/>
        <v>#N/A</v>
      </c>
      <c r="AK81" t="str">
        <f t="shared" si="34"/>
        <v/>
      </c>
      <c r="AL81" s="73" t="str">
        <f t="shared" si="22"/>
        <v>大庆旺家财</v>
      </c>
      <c r="AM81" s="73" t="str">
        <f t="shared" si="23"/>
        <v>大庆城区西所</v>
      </c>
    </row>
    <row r="82" spans="1:39" ht="15" thickBot="1" x14ac:dyDescent="0.25">
      <c r="A82">
        <f t="shared" si="35"/>
        <v>16</v>
      </c>
      <c r="B82" s="3" t="s">
        <v>26</v>
      </c>
      <c r="C82" s="3" t="s">
        <v>28</v>
      </c>
      <c r="D82" s="3" t="s">
        <v>84</v>
      </c>
      <c r="E82" s="3" t="s">
        <v>149</v>
      </c>
      <c r="F82" s="4">
        <v>0.17699999999999999</v>
      </c>
      <c r="G82" s="4">
        <v>0.161</v>
      </c>
      <c r="H82" s="4">
        <v>7.1999999999999995E-2</v>
      </c>
      <c r="I82" s="4">
        <v>0.126</v>
      </c>
      <c r="J82" s="4">
        <v>0.34300000000000003</v>
      </c>
      <c r="K82" s="4">
        <v>0.26300000000000001</v>
      </c>
      <c r="L82" s="4">
        <v>0.255</v>
      </c>
      <c r="M82" s="4">
        <v>0.184</v>
      </c>
      <c r="N82" s="4">
        <v>0.14599999999999999</v>
      </c>
      <c r="O82" s="4">
        <v>0.18</v>
      </c>
      <c r="P82" s="4">
        <v>0.40500000000000003</v>
      </c>
      <c r="Q82" s="4">
        <v>0.16300000000000001</v>
      </c>
      <c r="R82" s="4">
        <v>0.29899999999999999</v>
      </c>
      <c r="S82" s="4">
        <v>0.15</v>
      </c>
      <c r="T82" s="4">
        <v>0.15</v>
      </c>
      <c r="U82" s="4">
        <v>0.15</v>
      </c>
      <c r="V82" s="128">
        <v>0.36499999999999999</v>
      </c>
      <c r="W82" s="128">
        <v>0.28999999999999998</v>
      </c>
      <c r="X82" s="128">
        <f>VLOOKUP(E82,Sheet5!$O:$Q,2,0)</f>
        <v>0.28749999999999998</v>
      </c>
      <c r="Y82">
        <f>VLOOKUP(E82,Sheet5!O:P,2,0)</f>
        <v>0.28749999999999998</v>
      </c>
      <c r="Z82" s="73" t="str">
        <f t="shared" si="21"/>
        <v>大庆联家优选</v>
      </c>
      <c r="AA82" s="71">
        <f t="shared" si="24"/>
        <v>150</v>
      </c>
      <c r="AB82" s="71">
        <f t="shared" si="25"/>
        <v>365</v>
      </c>
      <c r="AC82" s="71">
        <f t="shared" si="26"/>
        <v>290</v>
      </c>
      <c r="AD82">
        <f t="shared" si="27"/>
        <v>0.19047619047619047</v>
      </c>
      <c r="AE82">
        <f t="shared" si="28"/>
        <v>6.4139941690962043E-2</v>
      </c>
      <c r="AF82">
        <f t="shared" si="29"/>
        <v>0.10266159695817478</v>
      </c>
      <c r="AG82" s="71">
        <f t="shared" si="30"/>
        <v>287.5</v>
      </c>
      <c r="AH82" s="71">
        <f t="shared" si="31"/>
        <v>255</v>
      </c>
      <c r="AI82">
        <f t="shared" si="32"/>
        <v>0.12745098039215685</v>
      </c>
      <c r="AJ82">
        <f t="shared" si="33"/>
        <v>287.5</v>
      </c>
      <c r="AK82">
        <f t="shared" si="34"/>
        <v>1</v>
      </c>
      <c r="AL82" s="73" t="str">
        <f t="shared" si="22"/>
        <v>大庆联家优选</v>
      </c>
      <c r="AM82" s="73" t="str">
        <f t="shared" si="23"/>
        <v>大庆城区西所</v>
      </c>
    </row>
    <row r="83" spans="1:39" ht="15" thickBot="1" x14ac:dyDescent="0.25">
      <c r="A83">
        <f t="shared" si="35"/>
        <v>19</v>
      </c>
      <c r="B83" s="3" t="s">
        <v>26</v>
      </c>
      <c r="C83" s="3" t="s">
        <v>29</v>
      </c>
      <c r="D83" s="3" t="s">
        <v>73</v>
      </c>
      <c r="E83" s="3" t="s">
        <v>150</v>
      </c>
      <c r="F83" s="6">
        <v>0.41</v>
      </c>
      <c r="G83" s="6">
        <v>0.28499999999999998</v>
      </c>
      <c r="H83" s="6">
        <v>0.17299999999999999</v>
      </c>
      <c r="I83" s="6">
        <v>0.2</v>
      </c>
      <c r="J83" s="6">
        <v>0.44</v>
      </c>
      <c r="K83" s="6">
        <v>0.41399999999999998</v>
      </c>
      <c r="L83" s="6">
        <v>0.56599999999999995</v>
      </c>
      <c r="M83" s="6">
        <v>0.3</v>
      </c>
      <c r="N83" s="6">
        <v>0.34200000000000003</v>
      </c>
      <c r="O83" s="5">
        <v>0.78300000000000003</v>
      </c>
      <c r="P83" s="5">
        <v>0.47</v>
      </c>
      <c r="Q83" s="5">
        <v>0.11</v>
      </c>
      <c r="R83" s="5">
        <v>0.42</v>
      </c>
      <c r="S83" s="5">
        <v>0.28999999999999998</v>
      </c>
      <c r="T83" s="5">
        <v>0.26900000000000002</v>
      </c>
      <c r="U83" s="5">
        <v>0.17</v>
      </c>
      <c r="V83" s="129">
        <v>0.57999999999999996</v>
      </c>
      <c r="W83" s="129">
        <v>0.53</v>
      </c>
      <c r="X83" s="129">
        <f>VLOOKUP(E83,Sheet5!$O:$Q,2,0)</f>
        <v>0.53749999999999998</v>
      </c>
      <c r="Y83">
        <f>VLOOKUP(E83,Sheet5!O:P,2,0)</f>
        <v>0.53749999999999998</v>
      </c>
      <c r="Z83" s="73" t="str">
        <f t="shared" si="21"/>
        <v>海伦晓惠</v>
      </c>
      <c r="AA83" s="71">
        <f t="shared" si="24"/>
        <v>170</v>
      </c>
      <c r="AB83" s="71">
        <f t="shared" si="25"/>
        <v>580</v>
      </c>
      <c r="AC83" s="71">
        <f t="shared" si="26"/>
        <v>530</v>
      </c>
      <c r="AD83">
        <f t="shared" si="27"/>
        <v>-0.15000000000000002</v>
      </c>
      <c r="AE83">
        <f t="shared" si="28"/>
        <v>0.31818181818181812</v>
      </c>
      <c r="AF83">
        <f t="shared" si="29"/>
        <v>0.28019323671497598</v>
      </c>
      <c r="AG83" s="71">
        <f t="shared" si="30"/>
        <v>537.5</v>
      </c>
      <c r="AH83" s="71">
        <f t="shared" si="31"/>
        <v>566</v>
      </c>
      <c r="AI83">
        <f t="shared" si="32"/>
        <v>-5.0353356890459389E-2</v>
      </c>
      <c r="AJ83">
        <f t="shared" si="33"/>
        <v>537.5</v>
      </c>
      <c r="AK83">
        <f t="shared" si="34"/>
        <v>1</v>
      </c>
      <c r="AL83" s="73" t="str">
        <f t="shared" si="22"/>
        <v>海伦晓惠</v>
      </c>
      <c r="AM83" s="73" t="str">
        <f t="shared" si="23"/>
        <v>海伦外埠所</v>
      </c>
    </row>
    <row r="84" spans="1:39" ht="15" thickBot="1" x14ac:dyDescent="0.25">
      <c r="A84">
        <f t="shared" si="35"/>
        <v>3</v>
      </c>
      <c r="B84" s="3" t="s">
        <v>26</v>
      </c>
      <c r="C84" s="3" t="s">
        <v>29</v>
      </c>
      <c r="D84" s="3" t="s">
        <v>73</v>
      </c>
      <c r="E84" s="3" t="s">
        <v>197</v>
      </c>
      <c r="F84" s="7">
        <v>0.22</v>
      </c>
      <c r="G84" s="7">
        <v>0.16</v>
      </c>
      <c r="H84" s="7">
        <v>0.22</v>
      </c>
      <c r="I84" s="7">
        <v>0.14499999999999999</v>
      </c>
      <c r="J84" s="7">
        <v>0.33800000000000002</v>
      </c>
      <c r="K84" s="7">
        <v>0.41799999999999998</v>
      </c>
      <c r="L84" s="7">
        <v>0.28000000000000003</v>
      </c>
      <c r="M84" s="7">
        <v>0.216</v>
      </c>
      <c r="N84" s="7">
        <v>0.23100000000000001</v>
      </c>
      <c r="O84" s="7">
        <v>0.34</v>
      </c>
      <c r="P84" s="7">
        <v>0.40100000000000002</v>
      </c>
      <c r="Q84" s="7">
        <v>0.18</v>
      </c>
      <c r="R84" s="7">
        <v>0.28999999999999998</v>
      </c>
      <c r="S84" s="7">
        <v>0.16</v>
      </c>
      <c r="T84" s="7">
        <v>0.187</v>
      </c>
      <c r="U84" s="4">
        <v>0.11799999999999999</v>
      </c>
      <c r="V84" s="128">
        <v>0.15</v>
      </c>
      <c r="W84" s="128">
        <v>0.34</v>
      </c>
      <c r="X84" s="128">
        <v>0.45</v>
      </c>
      <c r="Y84">
        <f>VLOOKUP(E84,Sheet5!O:P,2,0)</f>
        <v>0</v>
      </c>
      <c r="Z84" s="73" t="str">
        <f t="shared" si="21"/>
        <v>依安杜樽</v>
      </c>
      <c r="AA84" s="71">
        <f t="shared" si="24"/>
        <v>118</v>
      </c>
      <c r="AB84" s="71">
        <f t="shared" si="25"/>
        <v>150</v>
      </c>
      <c r="AC84" s="71">
        <f t="shared" si="26"/>
        <v>340</v>
      </c>
      <c r="AD84">
        <f t="shared" si="27"/>
        <v>-0.18620689655172418</v>
      </c>
      <c r="AE84">
        <f t="shared" si="28"/>
        <v>-0.55621301775147935</v>
      </c>
      <c r="AF84">
        <f t="shared" si="29"/>
        <v>-0.18660287081339699</v>
      </c>
      <c r="AG84" s="71">
        <f t="shared" si="30"/>
        <v>450</v>
      </c>
      <c r="AH84" s="71">
        <f t="shared" si="31"/>
        <v>280</v>
      </c>
      <c r="AI84">
        <f t="shared" si="32"/>
        <v>0.60714285714285721</v>
      </c>
      <c r="AJ84">
        <f t="shared" si="33"/>
        <v>0</v>
      </c>
      <c r="AK84" t="str">
        <f t="shared" si="34"/>
        <v/>
      </c>
      <c r="AL84" s="73" t="str">
        <f t="shared" si="22"/>
        <v>依安杜樽</v>
      </c>
      <c r="AM84" s="73" t="str">
        <f t="shared" si="23"/>
        <v>海伦外埠所</v>
      </c>
    </row>
    <row r="85" spans="1:39" ht="15" thickBot="1" x14ac:dyDescent="0.25">
      <c r="A85">
        <f t="shared" si="35"/>
        <v>17</v>
      </c>
      <c r="B85" s="3" t="s">
        <v>26</v>
      </c>
      <c r="C85" s="3" t="s">
        <v>29</v>
      </c>
      <c r="D85" s="3" t="s">
        <v>75</v>
      </c>
      <c r="E85" s="3" t="s">
        <v>205</v>
      </c>
      <c r="F85" s="5">
        <v>0.09</v>
      </c>
      <c r="G85" s="5">
        <v>0.128</v>
      </c>
      <c r="H85" s="5">
        <v>8.5999999999999993E-2</v>
      </c>
      <c r="I85" s="5">
        <v>0.08</v>
      </c>
      <c r="J85" s="5">
        <v>0.13</v>
      </c>
      <c r="K85" s="5">
        <v>0.34499999999999997</v>
      </c>
      <c r="L85" s="5">
        <v>0.113</v>
      </c>
      <c r="M85" s="5">
        <v>0.2</v>
      </c>
      <c r="N85" s="5">
        <v>0.153</v>
      </c>
      <c r="O85" s="5">
        <v>0.19</v>
      </c>
      <c r="P85" s="5">
        <v>0.03</v>
      </c>
      <c r="Q85" s="5">
        <v>0.09</v>
      </c>
      <c r="R85" s="5">
        <v>0.08</v>
      </c>
      <c r="S85" s="5">
        <v>0.105</v>
      </c>
      <c r="T85" s="5">
        <v>0.1</v>
      </c>
      <c r="U85" s="5">
        <v>0.1</v>
      </c>
      <c r="V85" s="129">
        <v>0.13100000000000001</v>
      </c>
      <c r="W85" s="129">
        <v>0.28000000000000003</v>
      </c>
      <c r="X85" s="129">
        <f>VLOOKUP(E85,Sheet5!$O:$Q,2,0)</f>
        <v>0.125</v>
      </c>
      <c r="Y85">
        <f>VLOOKUP(E85,Sheet5!O:P,2,0)</f>
        <v>0.125</v>
      </c>
      <c r="Z85" s="73" t="str">
        <f t="shared" si="21"/>
        <v>孙吴起浩</v>
      </c>
      <c r="AA85" s="71">
        <f t="shared" si="24"/>
        <v>100</v>
      </c>
      <c r="AB85" s="71">
        <f t="shared" si="25"/>
        <v>131</v>
      </c>
      <c r="AC85" s="71">
        <f t="shared" si="26"/>
        <v>280</v>
      </c>
      <c r="AD85">
        <f t="shared" si="27"/>
        <v>0.25</v>
      </c>
      <c r="AE85">
        <f t="shared" si="28"/>
        <v>7.692307692307665E-3</v>
      </c>
      <c r="AF85">
        <f t="shared" si="29"/>
        <v>-0.18840579710144911</v>
      </c>
      <c r="AG85" s="71">
        <f t="shared" si="30"/>
        <v>125</v>
      </c>
      <c r="AH85" s="71">
        <f t="shared" si="31"/>
        <v>113</v>
      </c>
      <c r="AI85">
        <f t="shared" si="32"/>
        <v>0.10619469026548667</v>
      </c>
      <c r="AJ85">
        <f t="shared" si="33"/>
        <v>125</v>
      </c>
      <c r="AK85">
        <f t="shared" si="34"/>
        <v>1</v>
      </c>
      <c r="AL85" s="73" t="str">
        <f t="shared" si="22"/>
        <v>孙吴起浩</v>
      </c>
      <c r="AM85" s="73" t="str">
        <f t="shared" si="23"/>
        <v>海伦外埠所</v>
      </c>
    </row>
    <row r="86" spans="1:39" ht="15" thickBot="1" x14ac:dyDescent="0.25">
      <c r="A86">
        <f t="shared" si="35"/>
        <v>5</v>
      </c>
      <c r="B86" s="3" t="s">
        <v>26</v>
      </c>
      <c r="C86" s="3" t="s">
        <v>29</v>
      </c>
      <c r="D86" s="3" t="s">
        <v>75</v>
      </c>
      <c r="E86" s="3" t="s">
        <v>151</v>
      </c>
      <c r="F86" s="5">
        <v>0.14000000000000001</v>
      </c>
      <c r="G86" s="5">
        <v>0.1</v>
      </c>
      <c r="H86" s="5">
        <v>0.115</v>
      </c>
      <c r="I86" s="5">
        <v>0.126</v>
      </c>
      <c r="J86" s="5">
        <v>0.128</v>
      </c>
      <c r="K86" s="5">
        <v>0.2</v>
      </c>
      <c r="L86" s="5">
        <v>0.10100000000000001</v>
      </c>
      <c r="M86" s="5">
        <v>0.105</v>
      </c>
      <c r="N86" s="5">
        <v>7.0999999999999994E-2</v>
      </c>
      <c r="O86" s="5">
        <v>0.12</v>
      </c>
      <c r="P86" s="5">
        <v>9.6000000000000002E-2</v>
      </c>
      <c r="Q86" s="5">
        <v>0.17</v>
      </c>
      <c r="R86" s="5">
        <v>0.15</v>
      </c>
      <c r="S86" s="5">
        <v>0.1</v>
      </c>
      <c r="T86" s="5">
        <v>0.08</v>
      </c>
      <c r="U86" s="5">
        <v>0.08</v>
      </c>
      <c r="V86" s="129">
        <v>8.3000000000000004E-2</v>
      </c>
      <c r="W86" s="129">
        <v>0.08</v>
      </c>
      <c r="X86" s="129">
        <f>VLOOKUP(E86,Sheet5!$O:$Q,2,0)</f>
        <v>0.12625</v>
      </c>
      <c r="Y86">
        <f>VLOOKUP(E86,Sheet5!O:P,2,0)</f>
        <v>0.12625</v>
      </c>
      <c r="Z86" s="73" t="str">
        <f t="shared" si="21"/>
        <v>克东盈利</v>
      </c>
      <c r="AA86" s="71">
        <f t="shared" si="24"/>
        <v>80</v>
      </c>
      <c r="AB86" s="71">
        <f t="shared" si="25"/>
        <v>83</v>
      </c>
      <c r="AC86" s="71">
        <f t="shared" si="26"/>
        <v>80</v>
      </c>
      <c r="AD86">
        <f t="shared" si="27"/>
        <v>-0.36507936507936511</v>
      </c>
      <c r="AE86">
        <f t="shared" si="28"/>
        <v>-0.3515625</v>
      </c>
      <c r="AF86">
        <f t="shared" si="29"/>
        <v>-0.60000000000000009</v>
      </c>
      <c r="AG86" s="71">
        <f t="shared" si="30"/>
        <v>126.25</v>
      </c>
      <c r="AH86" s="71">
        <f t="shared" si="31"/>
        <v>101</v>
      </c>
      <c r="AI86">
        <f t="shared" si="32"/>
        <v>0.25</v>
      </c>
      <c r="AJ86">
        <f t="shared" si="33"/>
        <v>126.25</v>
      </c>
      <c r="AK86">
        <f t="shared" si="34"/>
        <v>1</v>
      </c>
      <c r="AL86" s="73" t="str">
        <f t="shared" si="22"/>
        <v>克东盈利</v>
      </c>
      <c r="AM86" s="73" t="str">
        <f t="shared" si="23"/>
        <v>海伦外埠所</v>
      </c>
    </row>
    <row r="87" spans="1:39" ht="15" thickBot="1" x14ac:dyDescent="0.25">
      <c r="A87">
        <f t="shared" si="35"/>
        <v>15</v>
      </c>
      <c r="B87" s="3" t="s">
        <v>26</v>
      </c>
      <c r="C87" s="3" t="s">
        <v>29</v>
      </c>
      <c r="D87" s="3" t="s">
        <v>75</v>
      </c>
      <c r="E87" s="3" t="s">
        <v>152</v>
      </c>
      <c r="F87" s="4">
        <v>0.41599999999999998</v>
      </c>
      <c r="G87" s="4">
        <v>0.33</v>
      </c>
      <c r="H87" s="4">
        <v>0.28000000000000003</v>
      </c>
      <c r="I87" s="4">
        <v>0.155</v>
      </c>
      <c r="J87" s="4">
        <v>0.57999999999999996</v>
      </c>
      <c r="K87" s="4">
        <v>0.40100000000000002</v>
      </c>
      <c r="L87" s="4">
        <v>0.37</v>
      </c>
      <c r="M87" s="4">
        <v>0.17599999999999999</v>
      </c>
      <c r="N87" s="4">
        <v>0.42399999999999999</v>
      </c>
      <c r="O87" s="4">
        <v>0.40100000000000002</v>
      </c>
      <c r="P87" s="4">
        <v>0.25</v>
      </c>
      <c r="Q87" s="4">
        <v>0.21</v>
      </c>
      <c r="R87" s="4">
        <v>0.54700000000000004</v>
      </c>
      <c r="S87" s="4">
        <v>0.32500000000000001</v>
      </c>
      <c r="T87" s="4">
        <v>0.26400000000000001</v>
      </c>
      <c r="U87" s="4">
        <v>0.13600000000000001</v>
      </c>
      <c r="V87" s="128">
        <v>0.36</v>
      </c>
      <c r="W87" s="128">
        <v>0.31</v>
      </c>
      <c r="X87" s="128">
        <f>VLOOKUP(E87,Sheet5!$O:$Q,2,0)</f>
        <v>0.42499999999999999</v>
      </c>
      <c r="Y87">
        <f>VLOOKUP(E87,Sheet5!O:P,2,0)</f>
        <v>0.42499999999999999</v>
      </c>
      <c r="Z87" s="73" t="str">
        <f t="shared" si="21"/>
        <v>北安博源</v>
      </c>
      <c r="AA87" s="71">
        <f t="shared" si="24"/>
        <v>136</v>
      </c>
      <c r="AB87" s="71">
        <f t="shared" si="25"/>
        <v>360</v>
      </c>
      <c r="AC87" s="71">
        <f t="shared" si="26"/>
        <v>310</v>
      </c>
      <c r="AD87">
        <f t="shared" si="27"/>
        <v>-0.1225806451612903</v>
      </c>
      <c r="AE87">
        <f t="shared" si="28"/>
        <v>-0.37931034482758619</v>
      </c>
      <c r="AF87">
        <f t="shared" si="29"/>
        <v>-0.22693266832917713</v>
      </c>
      <c r="AG87" s="71">
        <f t="shared" si="30"/>
        <v>425</v>
      </c>
      <c r="AH87" s="71">
        <f t="shared" si="31"/>
        <v>370</v>
      </c>
      <c r="AI87">
        <f t="shared" si="32"/>
        <v>0.14864864864864868</v>
      </c>
      <c r="AJ87">
        <f t="shared" si="33"/>
        <v>425</v>
      </c>
      <c r="AK87">
        <f t="shared" si="34"/>
        <v>1</v>
      </c>
      <c r="AL87" s="73" t="str">
        <f t="shared" si="22"/>
        <v>北安博源</v>
      </c>
      <c r="AM87" s="73" t="str">
        <f t="shared" si="23"/>
        <v>海伦外埠所</v>
      </c>
    </row>
    <row r="88" spans="1:39" ht="15" thickBot="1" x14ac:dyDescent="0.25">
      <c r="A88">
        <v>5</v>
      </c>
      <c r="B88" s="3" t="s">
        <v>26</v>
      </c>
      <c r="C88" s="3" t="s">
        <v>29</v>
      </c>
      <c r="D88" s="3" t="s">
        <v>75</v>
      </c>
      <c r="E88" s="3" t="s">
        <v>153</v>
      </c>
      <c r="F88" s="6">
        <v>0.45</v>
      </c>
      <c r="G88" s="6">
        <v>0.21199999999999999</v>
      </c>
      <c r="H88" s="6">
        <v>0.35</v>
      </c>
      <c r="I88" s="5">
        <v>0.10299999999999999</v>
      </c>
      <c r="J88" s="5">
        <v>0.36</v>
      </c>
      <c r="K88" s="5">
        <v>0.52200000000000002</v>
      </c>
      <c r="L88" s="5">
        <v>0.26</v>
      </c>
      <c r="M88" s="5">
        <v>0.33100000000000002</v>
      </c>
      <c r="N88" s="5">
        <v>0.155</v>
      </c>
      <c r="O88" s="5">
        <v>0.245</v>
      </c>
      <c r="P88" s="5">
        <v>0.29599999999999999</v>
      </c>
      <c r="Q88" s="5">
        <v>0.32500000000000001</v>
      </c>
      <c r="R88" s="5">
        <v>0.34</v>
      </c>
      <c r="S88" s="5">
        <v>0.21199999999999999</v>
      </c>
      <c r="T88" s="5">
        <v>0.25</v>
      </c>
      <c r="U88" s="5">
        <v>0.1</v>
      </c>
      <c r="V88" s="129">
        <v>0.1</v>
      </c>
      <c r="W88" s="129">
        <v>0.15</v>
      </c>
      <c r="X88" s="129">
        <f>VLOOKUP(E88,Sheet5!$O:$Q,2,0)</f>
        <v>0.32500000000000001</v>
      </c>
      <c r="Y88">
        <f>VLOOKUP(E88,Sheet5!O:P,2,0)</f>
        <v>0.32500000000000001</v>
      </c>
      <c r="Z88" s="73" t="str">
        <f t="shared" si="21"/>
        <v>克山鑫万泽</v>
      </c>
      <c r="AA88" s="71">
        <f t="shared" si="24"/>
        <v>100</v>
      </c>
      <c r="AB88" s="71">
        <f t="shared" si="25"/>
        <v>100</v>
      </c>
      <c r="AC88" s="71">
        <f t="shared" si="26"/>
        <v>150</v>
      </c>
      <c r="AD88">
        <f t="shared" si="27"/>
        <v>-2.9126213592232886E-2</v>
      </c>
      <c r="AE88">
        <f t="shared" si="28"/>
        <v>-0.72222222222222221</v>
      </c>
      <c r="AF88">
        <f t="shared" si="29"/>
        <v>-0.71264367816091956</v>
      </c>
      <c r="AG88" s="71">
        <f t="shared" si="30"/>
        <v>325</v>
      </c>
      <c r="AH88" s="71">
        <f t="shared" si="31"/>
        <v>260</v>
      </c>
      <c r="AI88">
        <f t="shared" si="32"/>
        <v>0.25</v>
      </c>
      <c r="AJ88">
        <f t="shared" si="33"/>
        <v>325</v>
      </c>
      <c r="AK88">
        <f t="shared" si="34"/>
        <v>1</v>
      </c>
      <c r="AL88" s="73" t="str">
        <f t="shared" si="22"/>
        <v>克山鑫万泽</v>
      </c>
      <c r="AM88" s="73" t="str">
        <f t="shared" si="23"/>
        <v>海伦外埠所</v>
      </c>
    </row>
    <row r="89" spans="1:39" ht="15" thickBot="1" x14ac:dyDescent="0.25">
      <c r="A89">
        <f t="shared" si="35"/>
        <v>13</v>
      </c>
      <c r="B89" s="3" t="s">
        <v>26</v>
      </c>
      <c r="C89" s="3" t="s">
        <v>29</v>
      </c>
      <c r="D89" s="3" t="s">
        <v>75</v>
      </c>
      <c r="E89" s="3" t="s">
        <v>154</v>
      </c>
      <c r="F89" s="7">
        <v>0.14000000000000001</v>
      </c>
      <c r="G89" s="7">
        <v>0.121</v>
      </c>
      <c r="H89" s="7">
        <v>0.13500000000000001</v>
      </c>
      <c r="I89" s="7">
        <v>0.14499999999999999</v>
      </c>
      <c r="J89" s="7">
        <v>0.16500000000000001</v>
      </c>
      <c r="K89" s="7">
        <v>0.32700000000000001</v>
      </c>
      <c r="L89" s="7">
        <v>0.28000000000000003</v>
      </c>
      <c r="M89" s="7">
        <v>0.16</v>
      </c>
      <c r="N89" s="7">
        <v>0.05</v>
      </c>
      <c r="O89" s="7">
        <v>0.189</v>
      </c>
      <c r="P89" s="7">
        <v>0.2</v>
      </c>
      <c r="Q89" s="7">
        <v>0.17</v>
      </c>
      <c r="R89" s="4">
        <v>0.15</v>
      </c>
      <c r="S89" s="4">
        <v>0.121</v>
      </c>
      <c r="T89" s="4">
        <v>0.13600000000000001</v>
      </c>
      <c r="U89" s="4">
        <v>0.1</v>
      </c>
      <c r="V89" s="128">
        <v>0.26</v>
      </c>
      <c r="W89" s="128">
        <v>0.35</v>
      </c>
      <c r="X89" s="128">
        <f>VLOOKUP(E89,Sheet5!$O:$Q,2,0)</f>
        <v>0.32500000000000001</v>
      </c>
      <c r="Y89">
        <f>VLOOKUP(E89,Sheet5!O:P,2,0)</f>
        <v>0.32500000000000001</v>
      </c>
      <c r="Z89" s="73" t="str">
        <f t="shared" si="21"/>
        <v>五市盛泽</v>
      </c>
      <c r="AA89" s="71">
        <f t="shared" si="24"/>
        <v>100</v>
      </c>
      <c r="AB89" s="71">
        <f t="shared" si="25"/>
        <v>260</v>
      </c>
      <c r="AC89" s="71">
        <f t="shared" si="26"/>
        <v>350</v>
      </c>
      <c r="AD89">
        <f t="shared" si="27"/>
        <v>-0.31034482758620685</v>
      </c>
      <c r="AE89">
        <f t="shared" si="28"/>
        <v>0.57575757575757569</v>
      </c>
      <c r="AF89">
        <f t="shared" si="29"/>
        <v>7.0336391437308743E-2</v>
      </c>
      <c r="AG89" s="71">
        <f t="shared" si="30"/>
        <v>325</v>
      </c>
      <c r="AH89" s="71">
        <f t="shared" si="31"/>
        <v>280</v>
      </c>
      <c r="AI89">
        <f t="shared" si="32"/>
        <v>0.16071428571428581</v>
      </c>
      <c r="AJ89">
        <f t="shared" si="33"/>
        <v>325</v>
      </c>
      <c r="AK89">
        <f t="shared" si="34"/>
        <v>1</v>
      </c>
      <c r="AL89" s="73" t="str">
        <f t="shared" si="22"/>
        <v>五市盛泽</v>
      </c>
      <c r="AM89" s="73" t="str">
        <f t="shared" si="23"/>
        <v>海伦外埠所</v>
      </c>
    </row>
    <row r="90" spans="1:39" ht="15" thickBot="1" x14ac:dyDescent="0.25">
      <c r="A90">
        <f t="shared" si="35"/>
        <v>28</v>
      </c>
      <c r="B90" s="3" t="s">
        <v>26</v>
      </c>
      <c r="C90" s="3" t="s">
        <v>29</v>
      </c>
      <c r="D90" s="3" t="s">
        <v>75</v>
      </c>
      <c r="E90" s="3" t="s">
        <v>155</v>
      </c>
      <c r="F90" s="6">
        <v>0.26</v>
      </c>
      <c r="G90" s="6">
        <v>0.1</v>
      </c>
      <c r="H90" s="6">
        <v>0.158</v>
      </c>
      <c r="I90" s="6">
        <v>0.2</v>
      </c>
      <c r="J90" s="6">
        <v>0.41799999999999998</v>
      </c>
      <c r="K90" s="6">
        <v>0.35599999999999998</v>
      </c>
      <c r="L90" s="6">
        <v>0.28000000000000003</v>
      </c>
      <c r="M90" s="6">
        <v>0.185</v>
      </c>
      <c r="N90" s="6">
        <v>0.17100000000000001</v>
      </c>
      <c r="O90" s="6">
        <v>0.432</v>
      </c>
      <c r="P90" s="6">
        <v>0.23</v>
      </c>
      <c r="Q90" s="6">
        <v>0.24</v>
      </c>
      <c r="R90" s="6">
        <v>0.12</v>
      </c>
      <c r="S90" s="5">
        <v>0.1</v>
      </c>
      <c r="T90" s="5">
        <v>0.153</v>
      </c>
      <c r="U90" s="5">
        <v>0.1</v>
      </c>
      <c r="V90" s="129">
        <v>0.3</v>
      </c>
      <c r="W90" s="129">
        <v>0.1</v>
      </c>
      <c r="X90" s="129">
        <f>VLOOKUP(E90,Sheet5!$O:$Q,2,0)</f>
        <v>0.125</v>
      </c>
      <c r="Y90">
        <f>VLOOKUP(E90,Sheet5!O:P,2,0)</f>
        <v>0.125</v>
      </c>
      <c r="Z90" s="73" t="str">
        <f t="shared" si="21"/>
        <v>逊克晶承鑫</v>
      </c>
      <c r="AA90" s="71">
        <f t="shared" si="24"/>
        <v>100</v>
      </c>
      <c r="AB90" s="71">
        <f t="shared" si="25"/>
        <v>300</v>
      </c>
      <c r="AC90" s="71">
        <f t="shared" si="26"/>
        <v>100</v>
      </c>
      <c r="AD90">
        <f t="shared" si="27"/>
        <v>-0.5</v>
      </c>
      <c r="AE90">
        <f t="shared" si="28"/>
        <v>-0.28229665071770338</v>
      </c>
      <c r="AF90">
        <f t="shared" si="29"/>
        <v>-0.7191011235955056</v>
      </c>
      <c r="AG90" s="71">
        <f t="shared" si="30"/>
        <v>125</v>
      </c>
      <c r="AH90" s="71">
        <f t="shared" si="31"/>
        <v>280</v>
      </c>
      <c r="AI90">
        <f t="shared" si="32"/>
        <v>-0.5535714285714286</v>
      </c>
      <c r="AJ90">
        <f t="shared" si="33"/>
        <v>125</v>
      </c>
      <c r="AK90">
        <f t="shared" si="34"/>
        <v>1</v>
      </c>
      <c r="AL90" s="73" t="str">
        <f t="shared" si="22"/>
        <v>逊克晶承鑫</v>
      </c>
      <c r="AM90" s="73" t="str">
        <f t="shared" si="23"/>
        <v>海伦外埠所</v>
      </c>
    </row>
    <row r="91" spans="1:39" ht="15" thickBot="1" x14ac:dyDescent="0.25">
      <c r="A91">
        <f t="shared" si="35"/>
        <v>2</v>
      </c>
      <c r="B91" s="3" t="s">
        <v>26</v>
      </c>
      <c r="C91" s="3" t="s">
        <v>29</v>
      </c>
      <c r="D91" s="3" t="s">
        <v>75</v>
      </c>
      <c r="E91" s="3" t="s">
        <v>196</v>
      </c>
      <c r="F91" s="7">
        <v>0.04</v>
      </c>
      <c r="G91" s="7">
        <v>7.1999999999999995E-2</v>
      </c>
      <c r="H91" s="7">
        <v>0.11799999999999999</v>
      </c>
      <c r="I91" s="7">
        <v>2.3E-2</v>
      </c>
      <c r="J91" s="7">
        <v>0.125</v>
      </c>
      <c r="K91" s="7"/>
      <c r="L91" s="7">
        <v>0.09</v>
      </c>
      <c r="M91" s="7"/>
      <c r="N91" s="7"/>
      <c r="O91" s="7">
        <v>0.1</v>
      </c>
      <c r="P91" s="7">
        <v>0.27400000000000002</v>
      </c>
      <c r="Q91" s="7">
        <v>0.09</v>
      </c>
      <c r="R91" s="7">
        <v>7.0000000000000007E-2</v>
      </c>
      <c r="S91" s="4">
        <v>9.5000000000000001E-2</v>
      </c>
      <c r="T91" s="4">
        <v>0.1</v>
      </c>
      <c r="U91" s="4">
        <v>0.1</v>
      </c>
      <c r="V91" s="128">
        <v>0.12</v>
      </c>
      <c r="W91" s="128">
        <v>0.44</v>
      </c>
      <c r="X91" s="128">
        <f>VLOOKUP(E91,Sheet5!$O:$Q,2,0)</f>
        <v>0.15</v>
      </c>
      <c r="Y91">
        <f>VLOOKUP(E91,Sheet5!O:P,2,0)</f>
        <v>0.15</v>
      </c>
      <c r="Z91" s="73" t="str">
        <f t="shared" si="21"/>
        <v>拜泉卓润</v>
      </c>
      <c r="AA91" s="71">
        <f t="shared" si="24"/>
        <v>100</v>
      </c>
      <c r="AB91" s="71">
        <f t="shared" si="25"/>
        <v>120</v>
      </c>
      <c r="AC91" s="71">
        <f t="shared" si="26"/>
        <v>440</v>
      </c>
      <c r="AD91">
        <f t="shared" si="27"/>
        <v>3.3478260869565224</v>
      </c>
      <c r="AE91">
        <f t="shared" si="28"/>
        <v>-4.0000000000000036E-2</v>
      </c>
      <c r="AF91" t="str">
        <f t="shared" si="29"/>
        <v/>
      </c>
      <c r="AG91" s="71">
        <f t="shared" si="30"/>
        <v>150</v>
      </c>
      <c r="AH91" s="71">
        <f t="shared" si="31"/>
        <v>90</v>
      </c>
      <c r="AI91">
        <f t="shared" si="32"/>
        <v>0.66666666666666674</v>
      </c>
      <c r="AJ91">
        <f t="shared" si="33"/>
        <v>150</v>
      </c>
      <c r="AK91">
        <f t="shared" si="34"/>
        <v>1</v>
      </c>
      <c r="AL91" s="73" t="str">
        <f t="shared" si="22"/>
        <v>拜泉卓润</v>
      </c>
      <c r="AM91" s="73" t="str">
        <f t="shared" si="23"/>
        <v>海伦外埠所</v>
      </c>
    </row>
    <row r="92" spans="1:39" ht="15" thickBot="1" x14ac:dyDescent="0.25">
      <c r="A92">
        <f t="shared" si="35"/>
        <v>8</v>
      </c>
      <c r="B92" s="3" t="s">
        <v>26</v>
      </c>
      <c r="C92" s="3" t="s">
        <v>156</v>
      </c>
      <c r="D92" s="3" t="s">
        <v>75</v>
      </c>
      <c r="E92" s="3" t="s">
        <v>157</v>
      </c>
      <c r="F92" s="5">
        <v>0.12</v>
      </c>
      <c r="G92" s="5">
        <v>8.5000000000000006E-2</v>
      </c>
      <c r="H92" s="5">
        <v>0.1</v>
      </c>
      <c r="I92" s="5">
        <v>0.115</v>
      </c>
      <c r="J92" s="5">
        <v>0.23499999999999999</v>
      </c>
      <c r="K92" s="5">
        <v>0.161</v>
      </c>
      <c r="L92" s="5">
        <v>0.105</v>
      </c>
      <c r="M92" s="5">
        <v>0.2</v>
      </c>
      <c r="N92" s="5">
        <v>0.13900000000000001</v>
      </c>
      <c r="O92" s="5">
        <v>0.10100000000000001</v>
      </c>
      <c r="P92" s="5">
        <v>0.20200000000000001</v>
      </c>
      <c r="Q92" s="5">
        <v>0.12</v>
      </c>
      <c r="R92" s="5">
        <v>0.15</v>
      </c>
      <c r="S92" s="5">
        <v>0.1</v>
      </c>
      <c r="T92" s="5">
        <v>0.1</v>
      </c>
      <c r="U92" s="5">
        <v>0.1</v>
      </c>
      <c r="V92" s="129">
        <v>0.23499999999999999</v>
      </c>
      <c r="W92" s="129">
        <v>0.20499999999999999</v>
      </c>
      <c r="X92" s="129">
        <f>VLOOKUP(E92,Sheet5!$O:$Q,2,0)</f>
        <v>0.125</v>
      </c>
      <c r="Y92">
        <f>VLOOKUP(E92,Sheet5!O:P,2,0)</f>
        <v>0.125</v>
      </c>
      <c r="Z92" s="73" t="str">
        <f t="shared" si="21"/>
        <v>兴隆鑫康鸿</v>
      </c>
      <c r="AA92" s="71">
        <f t="shared" si="24"/>
        <v>100</v>
      </c>
      <c r="AB92" s="71">
        <f t="shared" si="25"/>
        <v>235</v>
      </c>
      <c r="AC92" s="71">
        <f t="shared" si="26"/>
        <v>205</v>
      </c>
      <c r="AD92">
        <f t="shared" si="27"/>
        <v>-0.13043478260869568</v>
      </c>
      <c r="AE92">
        <f t="shared" si="28"/>
        <v>0</v>
      </c>
      <c r="AF92">
        <f t="shared" si="29"/>
        <v>0.27329192546583836</v>
      </c>
      <c r="AG92" s="71">
        <f t="shared" si="30"/>
        <v>125</v>
      </c>
      <c r="AH92" s="71">
        <f t="shared" si="31"/>
        <v>105</v>
      </c>
      <c r="AI92">
        <f t="shared" si="32"/>
        <v>0.19047619047619047</v>
      </c>
      <c r="AJ92">
        <f t="shared" si="33"/>
        <v>125</v>
      </c>
      <c r="AK92">
        <f t="shared" si="34"/>
        <v>1</v>
      </c>
      <c r="AL92" s="73" t="str">
        <f t="shared" si="22"/>
        <v>兴隆鑫康鸿</v>
      </c>
      <c r="AM92" s="73" t="str">
        <f t="shared" si="23"/>
        <v>绥化外埠所</v>
      </c>
    </row>
    <row r="93" spans="1:39" ht="15" thickBot="1" x14ac:dyDescent="0.25">
      <c r="A93">
        <f t="shared" si="35"/>
        <v>9</v>
      </c>
      <c r="B93" s="3" t="s">
        <v>26</v>
      </c>
      <c r="C93" s="3" t="s">
        <v>156</v>
      </c>
      <c r="D93" s="3" t="s">
        <v>75</v>
      </c>
      <c r="E93" s="3" t="s">
        <v>206</v>
      </c>
      <c r="F93" s="5">
        <v>0.37</v>
      </c>
      <c r="G93" s="5">
        <v>0.22500000000000001</v>
      </c>
      <c r="H93" s="5">
        <v>0.28199999999999997</v>
      </c>
      <c r="I93" s="5">
        <v>0.17</v>
      </c>
      <c r="J93" s="5">
        <v>0.26500000000000001</v>
      </c>
      <c r="K93" s="5">
        <v>0.27300000000000002</v>
      </c>
      <c r="L93" s="5">
        <v>0.32</v>
      </c>
      <c r="M93" s="5">
        <v>0.24</v>
      </c>
      <c r="N93" s="5">
        <v>0.18</v>
      </c>
      <c r="O93" s="5">
        <v>0.13</v>
      </c>
      <c r="P93" s="5">
        <v>0.30499999999999999</v>
      </c>
      <c r="Q93" s="5">
        <v>0.24199999999999999</v>
      </c>
      <c r="R93" s="5">
        <v>0.25</v>
      </c>
      <c r="S93" s="5">
        <v>0.22500000000000001</v>
      </c>
      <c r="T93" s="5">
        <v>0.191</v>
      </c>
      <c r="U93" s="5">
        <v>0.14399999999999999</v>
      </c>
      <c r="V93" s="129">
        <v>0.106</v>
      </c>
      <c r="W93" s="129">
        <v>0.21</v>
      </c>
      <c r="X93" s="129">
        <f>VLOOKUP(E93,Sheet5!$O:$Q,2,0)</f>
        <v>0.375</v>
      </c>
      <c r="Y93" s="176">
        <v>0.23400000000000001</v>
      </c>
      <c r="Z93" s="73" t="str">
        <f t="shared" si="21"/>
        <v>明水百佳惠</v>
      </c>
      <c r="AA93" s="71">
        <f t="shared" si="24"/>
        <v>144</v>
      </c>
      <c r="AB93" s="71">
        <f t="shared" si="25"/>
        <v>106</v>
      </c>
      <c r="AC93" s="71">
        <f t="shared" si="26"/>
        <v>210</v>
      </c>
      <c r="AD93">
        <f t="shared" si="27"/>
        <v>-0.15294117647058836</v>
      </c>
      <c r="AE93">
        <f t="shared" si="28"/>
        <v>-0.60000000000000009</v>
      </c>
      <c r="AF93">
        <f t="shared" si="29"/>
        <v>-0.23076923076923084</v>
      </c>
      <c r="AG93" s="71">
        <f t="shared" si="30"/>
        <v>375</v>
      </c>
      <c r="AH93" s="71">
        <f t="shared" si="31"/>
        <v>320</v>
      </c>
      <c r="AI93">
        <f t="shared" si="32"/>
        <v>0.171875</v>
      </c>
      <c r="AJ93">
        <f t="shared" si="33"/>
        <v>234</v>
      </c>
      <c r="AK93">
        <f t="shared" si="34"/>
        <v>1.6025641025641026</v>
      </c>
      <c r="AL93" s="73" t="str">
        <f t="shared" si="22"/>
        <v>明水百佳惠</v>
      </c>
      <c r="AM93" s="73" t="str">
        <f t="shared" si="23"/>
        <v>绥化外埠所</v>
      </c>
    </row>
    <row r="94" spans="1:39" ht="15" thickBot="1" x14ac:dyDescent="0.25">
      <c r="A94">
        <f t="shared" si="35"/>
        <v>12</v>
      </c>
      <c r="B94" s="3" t="s">
        <v>26</v>
      </c>
      <c r="C94" s="3" t="s">
        <v>156</v>
      </c>
      <c r="D94" s="3" t="s">
        <v>75</v>
      </c>
      <c r="E94" s="3" t="s">
        <v>158</v>
      </c>
      <c r="F94" s="4">
        <v>0.38</v>
      </c>
      <c r="G94" s="4">
        <v>0.29399999999999998</v>
      </c>
      <c r="H94" s="4">
        <v>0.223</v>
      </c>
      <c r="I94" s="4">
        <v>0.2</v>
      </c>
      <c r="J94" s="4">
        <v>0.315</v>
      </c>
      <c r="K94" s="4">
        <v>0.28899999999999998</v>
      </c>
      <c r="L94" s="4">
        <v>0.3</v>
      </c>
      <c r="M94" s="4">
        <v>0.25600000000000001</v>
      </c>
      <c r="N94" s="4">
        <v>0.24</v>
      </c>
      <c r="O94" s="4">
        <v>0.14000000000000001</v>
      </c>
      <c r="P94" s="4">
        <v>0.32</v>
      </c>
      <c r="Q94" s="4">
        <v>0.24</v>
      </c>
      <c r="R94" s="4">
        <v>0.35</v>
      </c>
      <c r="S94" s="4">
        <v>0.3</v>
      </c>
      <c r="T94" s="4">
        <v>0.24299999999999999</v>
      </c>
      <c r="U94" s="4">
        <v>0.16200000000000001</v>
      </c>
      <c r="V94" s="128">
        <v>0.45900000000000002</v>
      </c>
      <c r="W94" s="128">
        <v>0.252</v>
      </c>
      <c r="X94" s="128">
        <f>VLOOKUP(E94,Sheet5!$O:$Q,2,0)</f>
        <v>0.35</v>
      </c>
      <c r="Y94">
        <f>VLOOKUP(E94,Sheet5!O:P,2,0)</f>
        <v>0.35</v>
      </c>
      <c r="Z94" s="73" t="str">
        <f t="shared" si="21"/>
        <v>青冈晓雨</v>
      </c>
      <c r="AA94" s="71">
        <f t="shared" si="24"/>
        <v>162</v>
      </c>
      <c r="AB94" s="71">
        <f t="shared" si="25"/>
        <v>459</v>
      </c>
      <c r="AC94" s="71">
        <f t="shared" si="26"/>
        <v>252</v>
      </c>
      <c r="AD94">
        <f t="shared" si="27"/>
        <v>-0.19000000000000006</v>
      </c>
      <c r="AE94">
        <f t="shared" si="28"/>
        <v>0.4571428571428573</v>
      </c>
      <c r="AF94">
        <f t="shared" si="29"/>
        <v>-0.12802768166089962</v>
      </c>
      <c r="AG94" s="71">
        <f t="shared" si="30"/>
        <v>350</v>
      </c>
      <c r="AH94" s="71">
        <f t="shared" si="31"/>
        <v>300</v>
      </c>
      <c r="AI94">
        <f t="shared" si="32"/>
        <v>0.16666666666666674</v>
      </c>
      <c r="AJ94">
        <f t="shared" si="33"/>
        <v>350</v>
      </c>
      <c r="AK94">
        <f t="shared" si="34"/>
        <v>1</v>
      </c>
      <c r="AL94" s="73" t="str">
        <f t="shared" si="22"/>
        <v>青冈晓雨</v>
      </c>
      <c r="AM94" s="73" t="str">
        <f t="shared" si="23"/>
        <v>绥化外埠所</v>
      </c>
    </row>
    <row r="95" spans="1:39" ht="15" thickBot="1" x14ac:dyDescent="0.25">
      <c r="A95">
        <f t="shared" si="35"/>
        <v>31</v>
      </c>
      <c r="B95" s="3" t="s">
        <v>26</v>
      </c>
      <c r="C95" s="3" t="s">
        <v>156</v>
      </c>
      <c r="D95" s="3" t="s">
        <v>75</v>
      </c>
      <c r="E95" s="3" t="s">
        <v>159</v>
      </c>
      <c r="F95" s="6">
        <v>0.26</v>
      </c>
      <c r="G95" s="6">
        <v>0.218</v>
      </c>
      <c r="H95" s="6">
        <v>0.21099999999999999</v>
      </c>
      <c r="I95" s="6">
        <v>0.22</v>
      </c>
      <c r="J95" s="6">
        <v>0.255</v>
      </c>
      <c r="K95" s="6">
        <v>0.32800000000000001</v>
      </c>
      <c r="L95" s="6">
        <v>0.37</v>
      </c>
      <c r="M95" s="6">
        <v>0.27200000000000002</v>
      </c>
      <c r="N95" s="5">
        <v>0.20499999999999999</v>
      </c>
      <c r="O95" s="5">
        <v>0.36</v>
      </c>
      <c r="P95" s="5">
        <v>0.29799999999999999</v>
      </c>
      <c r="Q95" s="5">
        <v>0.2</v>
      </c>
      <c r="R95" s="5">
        <v>0.26</v>
      </c>
      <c r="S95" s="5">
        <v>0.23</v>
      </c>
      <c r="T95" s="5">
        <v>0.20399999999999999</v>
      </c>
      <c r="U95" s="5">
        <v>0.15</v>
      </c>
      <c r="V95" s="129">
        <v>0.255</v>
      </c>
      <c r="W95" s="129">
        <v>0.34499999999999997</v>
      </c>
      <c r="X95" s="129">
        <f>VLOOKUP(E95,Sheet5!$O:$Q,2,0)</f>
        <v>0.13750000000000001</v>
      </c>
      <c r="Y95">
        <f>VLOOKUP(E95,Sheet5!O:P,2,0)</f>
        <v>0.13750000000000001</v>
      </c>
      <c r="Z95" s="73" t="str">
        <f t="shared" si="21"/>
        <v>兰西恒泰</v>
      </c>
      <c r="AA95" s="71">
        <f t="shared" si="24"/>
        <v>150</v>
      </c>
      <c r="AB95" s="71">
        <f t="shared" si="25"/>
        <v>255</v>
      </c>
      <c r="AC95" s="71">
        <f t="shared" si="26"/>
        <v>345</v>
      </c>
      <c r="AD95">
        <f t="shared" si="27"/>
        <v>-0.31818181818181823</v>
      </c>
      <c r="AE95">
        <f t="shared" si="28"/>
        <v>0</v>
      </c>
      <c r="AF95">
        <f t="shared" si="29"/>
        <v>5.1829268292682862E-2</v>
      </c>
      <c r="AG95" s="71">
        <f t="shared" si="30"/>
        <v>137.5</v>
      </c>
      <c r="AH95" s="71">
        <f t="shared" si="31"/>
        <v>370</v>
      </c>
      <c r="AI95">
        <f t="shared" si="32"/>
        <v>-0.6283783783783784</v>
      </c>
      <c r="AJ95">
        <f t="shared" si="33"/>
        <v>137.5</v>
      </c>
      <c r="AK95">
        <f t="shared" si="34"/>
        <v>1</v>
      </c>
      <c r="AL95" s="73" t="str">
        <f t="shared" si="22"/>
        <v>兰西恒泰</v>
      </c>
      <c r="AM95" s="73" t="str">
        <f t="shared" si="23"/>
        <v>绥化外埠所</v>
      </c>
    </row>
    <row r="96" spans="1:39" ht="15" thickBot="1" x14ac:dyDescent="0.25">
      <c r="A96">
        <f t="shared" si="35"/>
        <v>27</v>
      </c>
      <c r="B96" s="3" t="s">
        <v>26</v>
      </c>
      <c r="C96" s="3" t="s">
        <v>156</v>
      </c>
      <c r="D96" s="3" t="s">
        <v>83</v>
      </c>
      <c r="E96" s="3" t="s">
        <v>160</v>
      </c>
      <c r="F96" s="4">
        <v>0.41100000000000003</v>
      </c>
      <c r="G96" s="4">
        <v>0.44700000000000001</v>
      </c>
      <c r="H96" s="4">
        <v>0.29700000000000004</v>
      </c>
      <c r="I96" s="4">
        <v>0.46100000000000002</v>
      </c>
      <c r="J96" s="4">
        <v>0.98</v>
      </c>
      <c r="K96" s="4">
        <v>0.46400000000000002</v>
      </c>
      <c r="L96" s="4">
        <v>0.90700000000000003</v>
      </c>
      <c r="M96" s="4">
        <v>0.871</v>
      </c>
      <c r="N96" s="4">
        <v>0.38700000000000001</v>
      </c>
      <c r="O96" s="4">
        <v>1.014</v>
      </c>
      <c r="P96" s="4">
        <v>0.60799999999999998</v>
      </c>
      <c r="Q96" s="4">
        <v>0.55000000000000004</v>
      </c>
      <c r="R96" s="4">
        <v>0.32700000000000001</v>
      </c>
      <c r="S96" s="4">
        <v>0.501</v>
      </c>
      <c r="T96" s="4">
        <v>0.39300000000000002</v>
      </c>
      <c r="U96" s="4">
        <v>0.38</v>
      </c>
      <c r="V96" s="128">
        <v>0.97899999999999998</v>
      </c>
      <c r="W96" s="128">
        <v>0.3</v>
      </c>
      <c r="X96" s="128">
        <f>VLOOKUP(E96,Sheet5!$O:$Q,2,0)</f>
        <v>0.43375000000000002</v>
      </c>
      <c r="Y96">
        <f>VLOOKUP(E96,Sheet5!O:P,2,0)</f>
        <v>0.43375000000000002</v>
      </c>
      <c r="Z96" s="73" t="str">
        <f t="shared" si="21"/>
        <v>绥化正祥</v>
      </c>
      <c r="AA96" s="71">
        <f t="shared" si="24"/>
        <v>380</v>
      </c>
      <c r="AB96" s="71">
        <f t="shared" si="25"/>
        <v>979</v>
      </c>
      <c r="AC96" s="71">
        <f t="shared" si="26"/>
        <v>300</v>
      </c>
      <c r="AD96">
        <f t="shared" si="27"/>
        <v>-0.175704989154013</v>
      </c>
      <c r="AE96">
        <f t="shared" si="28"/>
        <v>-1.0204081632653184E-3</v>
      </c>
      <c r="AF96">
        <f t="shared" si="29"/>
        <v>-0.35344827586206906</v>
      </c>
      <c r="AG96" s="71">
        <f t="shared" si="30"/>
        <v>433.75</v>
      </c>
      <c r="AH96" s="71">
        <f t="shared" si="31"/>
        <v>907</v>
      </c>
      <c r="AI96">
        <f t="shared" si="32"/>
        <v>-0.52177508269018746</v>
      </c>
      <c r="AJ96">
        <f t="shared" si="33"/>
        <v>433.75</v>
      </c>
      <c r="AK96">
        <f t="shared" si="34"/>
        <v>1</v>
      </c>
      <c r="AL96" s="73" t="str">
        <f t="shared" si="22"/>
        <v>绥化正祥</v>
      </c>
      <c r="AM96" s="73" t="str">
        <f t="shared" si="23"/>
        <v>绥化外埠所</v>
      </c>
    </row>
    <row r="97" spans="1:39" ht="15" thickBot="1" x14ac:dyDescent="0.25">
      <c r="A97">
        <f t="shared" si="35"/>
        <v>29</v>
      </c>
      <c r="B97" s="3" t="s">
        <v>26</v>
      </c>
      <c r="C97" s="3" t="s">
        <v>30</v>
      </c>
      <c r="D97" s="3" t="s">
        <v>73</v>
      </c>
      <c r="E97" s="3" t="s">
        <v>161</v>
      </c>
      <c r="F97" s="5">
        <v>0.34</v>
      </c>
      <c r="G97" s="4">
        <v>0.13800000000000001</v>
      </c>
      <c r="H97" s="4">
        <v>0.183</v>
      </c>
      <c r="I97" s="4">
        <v>0.17899999999999999</v>
      </c>
      <c r="J97" s="4">
        <v>0.39100000000000001</v>
      </c>
      <c r="K97" s="4">
        <v>0.27300000000000002</v>
      </c>
      <c r="L97" s="4">
        <v>0.4</v>
      </c>
      <c r="M97" s="4">
        <v>0.44400000000000001</v>
      </c>
      <c r="N97" s="4">
        <v>0.20699999999999999</v>
      </c>
      <c r="O97" s="4">
        <v>0.41399999999999998</v>
      </c>
      <c r="P97" s="4">
        <v>0.40100000000000002</v>
      </c>
      <c r="Q97" s="4">
        <v>0.214</v>
      </c>
      <c r="R97" s="4">
        <v>0.28999999999999998</v>
      </c>
      <c r="S97" s="4">
        <v>0.192</v>
      </c>
      <c r="T97" s="4">
        <v>0.20399999999999999</v>
      </c>
      <c r="U97" s="4">
        <v>0.15</v>
      </c>
      <c r="V97" s="128">
        <v>0.38</v>
      </c>
      <c r="W97" s="128">
        <v>0.35</v>
      </c>
      <c r="X97" s="128">
        <f>VLOOKUP(E97,Sheet5!$O:$Q,2,0)</f>
        <v>0.17499999999999999</v>
      </c>
      <c r="Y97">
        <f>VLOOKUP(E97,Sheet5!O:P,2,0)</f>
        <v>0.17499999999999999</v>
      </c>
      <c r="Z97" s="73" t="str">
        <f t="shared" si="21"/>
        <v>伊春宏锦坤</v>
      </c>
      <c r="AA97" s="71">
        <f t="shared" si="24"/>
        <v>150</v>
      </c>
      <c r="AB97" s="71">
        <f t="shared" si="25"/>
        <v>380</v>
      </c>
      <c r="AC97" s="71">
        <f t="shared" si="26"/>
        <v>350</v>
      </c>
      <c r="AD97">
        <f t="shared" si="27"/>
        <v>-0.16201117318435754</v>
      </c>
      <c r="AE97">
        <f t="shared" si="28"/>
        <v>-2.8132992327365769E-2</v>
      </c>
      <c r="AF97">
        <f t="shared" si="29"/>
        <v>0.28205128205128194</v>
      </c>
      <c r="AG97" s="71">
        <f t="shared" si="30"/>
        <v>175</v>
      </c>
      <c r="AH97" s="71">
        <f t="shared" si="31"/>
        <v>400</v>
      </c>
      <c r="AI97">
        <f t="shared" si="32"/>
        <v>-0.5625</v>
      </c>
      <c r="AJ97">
        <f t="shared" si="33"/>
        <v>175</v>
      </c>
      <c r="AK97">
        <f t="shared" si="34"/>
        <v>1</v>
      </c>
      <c r="AL97" s="73" t="str">
        <f t="shared" si="22"/>
        <v>伊春宏锦坤</v>
      </c>
      <c r="AM97" s="73" t="str">
        <f t="shared" si="23"/>
        <v>伊春外埠所</v>
      </c>
    </row>
    <row r="98" spans="1:39" ht="15" thickBot="1" x14ac:dyDescent="0.25">
      <c r="A98">
        <v>9</v>
      </c>
      <c r="B98" s="3" t="s">
        <v>26</v>
      </c>
      <c r="C98" s="3" t="s">
        <v>30</v>
      </c>
      <c r="D98" s="3" t="s">
        <v>75</v>
      </c>
      <c r="E98" s="3" t="s">
        <v>162</v>
      </c>
      <c r="F98" s="5">
        <v>0.21</v>
      </c>
      <c r="G98" s="5">
        <v>0.28100000000000003</v>
      </c>
      <c r="H98" s="5">
        <v>0.16900000000000001</v>
      </c>
      <c r="I98" s="5">
        <v>0.107</v>
      </c>
      <c r="J98" s="5">
        <v>0.3</v>
      </c>
      <c r="K98" s="5">
        <v>0.16500000000000001</v>
      </c>
      <c r="L98" s="5">
        <v>0.32</v>
      </c>
      <c r="M98" s="5">
        <v>0.312</v>
      </c>
      <c r="N98" s="5">
        <v>0.15</v>
      </c>
      <c r="O98" s="5">
        <v>0.315</v>
      </c>
      <c r="P98" s="5">
        <v>0.23</v>
      </c>
      <c r="Q98" s="5">
        <v>0.24</v>
      </c>
      <c r="R98" s="5">
        <v>0.12</v>
      </c>
      <c r="S98" s="5">
        <v>0.18</v>
      </c>
      <c r="T98" s="5">
        <v>0.14499999999999999</v>
      </c>
      <c r="U98" s="5">
        <v>0.05</v>
      </c>
      <c r="V98" s="129">
        <v>0.28999999999999998</v>
      </c>
      <c r="W98" s="129">
        <v>0.21199999999999999</v>
      </c>
      <c r="X98" s="129">
        <f>VLOOKUP(E98,Sheet5!$O:$Q,2,0)</f>
        <v>0.375</v>
      </c>
      <c r="Y98">
        <f>VLOOKUP(E98,Sheet5!O:P,2,0)</f>
        <v>0.375</v>
      </c>
      <c r="Z98" s="73" t="str">
        <f t="shared" si="21"/>
        <v>铁力金帝公司</v>
      </c>
      <c r="AA98" s="71">
        <f t="shared" si="24"/>
        <v>50</v>
      </c>
      <c r="AB98" s="71">
        <f t="shared" si="25"/>
        <v>290</v>
      </c>
      <c r="AC98" s="71">
        <f t="shared" si="26"/>
        <v>212</v>
      </c>
      <c r="AD98">
        <f t="shared" si="27"/>
        <v>-0.53271028037383172</v>
      </c>
      <c r="AE98">
        <f t="shared" si="28"/>
        <v>-3.3333333333333326E-2</v>
      </c>
      <c r="AF98">
        <f t="shared" si="29"/>
        <v>0.28484848484848468</v>
      </c>
      <c r="AG98" s="71">
        <f t="shared" si="30"/>
        <v>375</v>
      </c>
      <c r="AH98" s="71">
        <f t="shared" si="31"/>
        <v>320</v>
      </c>
      <c r="AI98">
        <f t="shared" si="32"/>
        <v>0.171875</v>
      </c>
      <c r="AJ98">
        <f t="shared" si="33"/>
        <v>375</v>
      </c>
      <c r="AK98">
        <f t="shared" si="34"/>
        <v>1</v>
      </c>
      <c r="AL98" s="73" t="str">
        <f t="shared" si="22"/>
        <v>铁力金帝公司</v>
      </c>
      <c r="AM98" s="73" t="str">
        <f t="shared" si="23"/>
        <v>伊春外埠所</v>
      </c>
    </row>
    <row r="99" spans="1:39" ht="15" thickBot="1" x14ac:dyDescent="0.25">
      <c r="A99">
        <f t="shared" si="35"/>
        <v>20</v>
      </c>
      <c r="B99" s="3" t="s">
        <v>26</v>
      </c>
      <c r="C99" s="3" t="s">
        <v>30</v>
      </c>
      <c r="D99" s="3" t="s">
        <v>75</v>
      </c>
      <c r="E99" s="3" t="s">
        <v>163</v>
      </c>
      <c r="F99" s="5">
        <v>0.30399999999999999</v>
      </c>
      <c r="G99" s="5">
        <v>0.223</v>
      </c>
      <c r="H99" s="5">
        <v>0.221</v>
      </c>
      <c r="I99" s="5">
        <v>0.30399999999999999</v>
      </c>
      <c r="J99" s="5">
        <v>0.41199999999999998</v>
      </c>
      <c r="K99" s="5">
        <v>0.215</v>
      </c>
      <c r="L99" s="5">
        <v>0.51</v>
      </c>
      <c r="M99" s="5">
        <v>0.16</v>
      </c>
      <c r="N99" s="5">
        <v>0.12</v>
      </c>
      <c r="O99" s="5">
        <v>0.4</v>
      </c>
      <c r="P99" s="5">
        <v>0.42699999999999999</v>
      </c>
      <c r="Q99" s="5">
        <v>0.25900000000000001</v>
      </c>
      <c r="R99" s="5">
        <v>0.26900000000000002</v>
      </c>
      <c r="S99" s="5">
        <v>0.223</v>
      </c>
      <c r="T99" s="5">
        <v>0.187</v>
      </c>
      <c r="U99" s="5">
        <v>0.255</v>
      </c>
      <c r="V99" s="129">
        <v>0.39</v>
      </c>
      <c r="W99" s="129">
        <v>0.24</v>
      </c>
      <c r="X99" s="129">
        <f>VLOOKUP(E99,Sheet5!$O:$Q,2,0)</f>
        <v>0.46250000000000002</v>
      </c>
      <c r="Y99">
        <f>VLOOKUP(E99,Sheet5!O:P,2,0)</f>
        <v>0.46250000000000002</v>
      </c>
      <c r="Z99" s="73" t="str">
        <f t="shared" si="21"/>
        <v>望奎坤海</v>
      </c>
      <c r="AA99" s="71">
        <f t="shared" si="24"/>
        <v>255</v>
      </c>
      <c r="AB99" s="71">
        <f t="shared" si="25"/>
        <v>390</v>
      </c>
      <c r="AC99" s="71">
        <f t="shared" si="26"/>
        <v>240</v>
      </c>
      <c r="AD99">
        <f t="shared" si="27"/>
        <v>-0.16118421052631571</v>
      </c>
      <c r="AE99">
        <f t="shared" si="28"/>
        <v>-5.339805825242705E-2</v>
      </c>
      <c r="AF99">
        <f t="shared" si="29"/>
        <v>0.11627906976744184</v>
      </c>
      <c r="AG99" s="71">
        <f t="shared" si="30"/>
        <v>462.5</v>
      </c>
      <c r="AH99" s="71">
        <f t="shared" si="31"/>
        <v>510</v>
      </c>
      <c r="AI99">
        <f t="shared" si="32"/>
        <v>-9.3137254901960786E-2</v>
      </c>
      <c r="AJ99">
        <f t="shared" si="33"/>
        <v>462.5</v>
      </c>
      <c r="AK99">
        <f t="shared" si="34"/>
        <v>1</v>
      </c>
      <c r="AL99" s="73" t="str">
        <f t="shared" si="22"/>
        <v>望奎坤海</v>
      </c>
      <c r="AM99" s="73" t="str">
        <f t="shared" si="23"/>
        <v>伊春外埠所</v>
      </c>
    </row>
    <row r="100" spans="1:39" ht="15" thickBot="1" x14ac:dyDescent="0.25">
      <c r="A100">
        <f t="shared" si="35"/>
        <v>11</v>
      </c>
      <c r="B100" s="3" t="s">
        <v>26</v>
      </c>
      <c r="C100" s="3" t="s">
        <v>30</v>
      </c>
      <c r="D100" s="3" t="s">
        <v>75</v>
      </c>
      <c r="E100" s="3" t="s">
        <v>164</v>
      </c>
      <c r="F100" s="4">
        <v>0.26</v>
      </c>
      <c r="G100" s="4">
        <v>0.19</v>
      </c>
      <c r="H100" s="4">
        <v>0.19500000000000001</v>
      </c>
      <c r="I100" s="4">
        <v>0.14299999999999999</v>
      </c>
      <c r="J100" s="4">
        <v>0.30099999999999999</v>
      </c>
      <c r="K100" s="4">
        <v>0.115</v>
      </c>
      <c r="L100" s="4">
        <v>0.31</v>
      </c>
      <c r="M100" s="4">
        <v>0.38400000000000001</v>
      </c>
      <c r="N100" s="4">
        <v>0.25600000000000001</v>
      </c>
      <c r="O100" s="4">
        <v>0.32500000000000001</v>
      </c>
      <c r="P100" s="4">
        <v>0.21299999999999999</v>
      </c>
      <c r="Q100" s="4">
        <v>0.124</v>
      </c>
      <c r="R100" s="4">
        <v>0.28000000000000003</v>
      </c>
      <c r="S100" s="4">
        <v>0.19</v>
      </c>
      <c r="T100" s="4">
        <v>0.214</v>
      </c>
      <c r="U100" s="4">
        <v>0.10199999999999999</v>
      </c>
      <c r="V100" s="128">
        <v>0.28999999999999998</v>
      </c>
      <c r="W100" s="128">
        <v>0.08</v>
      </c>
      <c r="X100" s="128">
        <f>VLOOKUP(E100,Sheet5!$O:$Q,2,0)</f>
        <v>0.36249999999999999</v>
      </c>
      <c r="Y100">
        <f>VLOOKUP(E100,Sheet5!O:P,2,0)</f>
        <v>0.36249999999999999</v>
      </c>
      <c r="Z100" s="73" t="str">
        <f t="shared" si="21"/>
        <v>庆安佳庆商贸</v>
      </c>
      <c r="AA100" s="71">
        <f t="shared" si="24"/>
        <v>102</v>
      </c>
      <c r="AB100" s="71">
        <f t="shared" si="25"/>
        <v>290</v>
      </c>
      <c r="AC100" s="71">
        <f t="shared" si="26"/>
        <v>80</v>
      </c>
      <c r="AD100">
        <f t="shared" si="27"/>
        <v>-0.28671328671328666</v>
      </c>
      <c r="AE100">
        <f t="shared" si="28"/>
        <v>-3.6544850498338888E-2</v>
      </c>
      <c r="AF100">
        <f t="shared" si="29"/>
        <v>-0.30434782608695654</v>
      </c>
      <c r="AG100" s="71">
        <f t="shared" si="30"/>
        <v>362.5</v>
      </c>
      <c r="AH100" s="71">
        <f t="shared" si="31"/>
        <v>310</v>
      </c>
      <c r="AI100">
        <f t="shared" si="32"/>
        <v>0.16935483870967749</v>
      </c>
      <c r="AJ100">
        <f t="shared" si="33"/>
        <v>362.5</v>
      </c>
      <c r="AK100">
        <f t="shared" si="34"/>
        <v>1</v>
      </c>
      <c r="AL100" s="73" t="str">
        <f t="shared" si="22"/>
        <v>庆安佳庆商贸</v>
      </c>
      <c r="AM100" s="73" t="str">
        <f t="shared" si="23"/>
        <v>伊春外埠所</v>
      </c>
    </row>
    <row r="101" spans="1:39" ht="15" thickBot="1" x14ac:dyDescent="0.25">
      <c r="A101">
        <f t="shared" si="35"/>
        <v>4</v>
      </c>
      <c r="B101" s="3" t="s">
        <v>26</v>
      </c>
      <c r="C101" s="3" t="s">
        <v>30</v>
      </c>
      <c r="D101" s="3" t="s">
        <v>75</v>
      </c>
      <c r="E101" s="3" t="s">
        <v>165</v>
      </c>
      <c r="F101" s="7">
        <v>0.04</v>
      </c>
      <c r="G101" s="7"/>
      <c r="H101" s="7">
        <v>0.08</v>
      </c>
      <c r="I101" s="7"/>
      <c r="J101" s="7">
        <v>6.4000000000000001E-2</v>
      </c>
      <c r="K101" s="7"/>
      <c r="L101" s="7">
        <v>6.5000000000000002E-2</v>
      </c>
      <c r="M101" s="7"/>
      <c r="N101" s="7">
        <v>4.3999999999999997E-2</v>
      </c>
      <c r="O101" s="7">
        <v>4.2000000000000003E-2</v>
      </c>
      <c r="P101" s="7">
        <v>0.04</v>
      </c>
      <c r="Q101" s="4">
        <v>6.8000000000000005E-2</v>
      </c>
      <c r="R101" s="4">
        <v>0.15</v>
      </c>
      <c r="S101" s="4">
        <v>0.1</v>
      </c>
      <c r="T101" s="4">
        <v>0.06</v>
      </c>
      <c r="U101" s="4">
        <v>0.1</v>
      </c>
      <c r="V101" s="128">
        <v>0.08</v>
      </c>
      <c r="W101" s="128">
        <v>0.08</v>
      </c>
      <c r="X101" s="128">
        <f>VLOOKUP(E101,Sheet5!$O:$Q,2,0)</f>
        <v>0.1</v>
      </c>
      <c r="Y101">
        <f>VLOOKUP(E101,Sheet5!O:P,2,0)</f>
        <v>0.1</v>
      </c>
      <c r="Z101" s="73" t="str">
        <f t="shared" ref="Z101:Z111" si="36">E101</f>
        <v>嘉荫汇丰</v>
      </c>
      <c r="AA101" s="71">
        <f t="shared" si="24"/>
        <v>100</v>
      </c>
      <c r="AB101" s="71">
        <f t="shared" si="25"/>
        <v>80</v>
      </c>
      <c r="AC101" s="71">
        <f t="shared" si="26"/>
        <v>80</v>
      </c>
      <c r="AD101" t="str">
        <f t="shared" si="27"/>
        <v/>
      </c>
      <c r="AE101">
        <f t="shared" si="28"/>
        <v>0.25</v>
      </c>
      <c r="AF101" t="str">
        <f t="shared" si="29"/>
        <v/>
      </c>
      <c r="AG101" s="71">
        <f t="shared" si="30"/>
        <v>100</v>
      </c>
      <c r="AH101" s="71">
        <f t="shared" si="31"/>
        <v>65</v>
      </c>
      <c r="AI101">
        <f t="shared" si="32"/>
        <v>0.53846153846153855</v>
      </c>
      <c r="AJ101">
        <f t="shared" si="33"/>
        <v>100</v>
      </c>
      <c r="AK101">
        <f t="shared" si="34"/>
        <v>1</v>
      </c>
      <c r="AL101" s="73" t="str">
        <f t="shared" si="22"/>
        <v>嘉荫汇丰</v>
      </c>
      <c r="AM101" s="73" t="str">
        <f t="shared" si="23"/>
        <v>伊春外埠所</v>
      </c>
    </row>
    <row r="102" spans="1:39" ht="15" thickBot="1" x14ac:dyDescent="0.25">
      <c r="A102">
        <f t="shared" si="35"/>
        <v>30</v>
      </c>
      <c r="B102" s="3" t="s">
        <v>26</v>
      </c>
      <c r="C102" s="3" t="s">
        <v>30</v>
      </c>
      <c r="D102" s="3" t="s">
        <v>75</v>
      </c>
      <c r="E102" s="3" t="s">
        <v>166</v>
      </c>
      <c r="F102" s="6">
        <v>0.13799999999999998</v>
      </c>
      <c r="G102" s="6">
        <v>0.152</v>
      </c>
      <c r="H102" s="6">
        <v>0.13300000000000001</v>
      </c>
      <c r="I102" s="6">
        <v>0.09</v>
      </c>
      <c r="J102" s="6">
        <v>7.9999999999999988E-2</v>
      </c>
      <c r="K102" s="6">
        <v>0.12</v>
      </c>
      <c r="L102" s="6">
        <v>0.23499999999999999</v>
      </c>
      <c r="M102" s="6">
        <v>0.35199999999999998</v>
      </c>
      <c r="N102" s="6">
        <v>0.15600000000000003</v>
      </c>
      <c r="O102" s="6">
        <v>0.27200000000000002</v>
      </c>
      <c r="P102" s="6">
        <v>0.17699999999999999</v>
      </c>
      <c r="Q102" s="6">
        <v>0.17</v>
      </c>
      <c r="R102" s="5">
        <v>0.15</v>
      </c>
      <c r="S102" s="5">
        <v>0.1</v>
      </c>
      <c r="T102" s="5">
        <v>0.1</v>
      </c>
      <c r="U102" s="5">
        <v>0.05</v>
      </c>
      <c r="V102" s="129">
        <v>0.13300000000000001</v>
      </c>
      <c r="W102" s="129">
        <v>0.1</v>
      </c>
      <c r="X102" s="129">
        <f>VLOOKUP(E102,Sheet5!$O:$Q,2,0)</f>
        <v>8.7499999999999994E-2</v>
      </c>
      <c r="Y102">
        <f>VLOOKUP(E102,Sheet5!O:P,2,0)</f>
        <v>8.7499999999999994E-2</v>
      </c>
      <c r="Z102" s="73" t="str">
        <f t="shared" si="36"/>
        <v>南岔永合</v>
      </c>
      <c r="AA102" s="71">
        <f t="shared" si="24"/>
        <v>50</v>
      </c>
      <c r="AB102" s="71">
        <f t="shared" si="25"/>
        <v>133</v>
      </c>
      <c r="AC102" s="71">
        <f t="shared" si="26"/>
        <v>100</v>
      </c>
      <c r="AD102">
        <f t="shared" si="27"/>
        <v>-0.44444444444444442</v>
      </c>
      <c r="AE102">
        <f t="shared" si="28"/>
        <v>0.66250000000000031</v>
      </c>
      <c r="AF102">
        <f t="shared" si="29"/>
        <v>-0.16666666666666663</v>
      </c>
      <c r="AG102" s="71">
        <f t="shared" si="30"/>
        <v>87.5</v>
      </c>
      <c r="AH102" s="71">
        <f t="shared" si="31"/>
        <v>235</v>
      </c>
      <c r="AI102">
        <f t="shared" si="32"/>
        <v>-0.62765957446808507</v>
      </c>
      <c r="AJ102">
        <f t="shared" si="33"/>
        <v>87.5</v>
      </c>
      <c r="AK102">
        <f t="shared" si="34"/>
        <v>1</v>
      </c>
      <c r="AL102" s="73" t="str">
        <f t="shared" si="22"/>
        <v>南岔永合</v>
      </c>
      <c r="AM102" s="73" t="str">
        <f t="shared" si="23"/>
        <v>伊春外埠所</v>
      </c>
    </row>
    <row r="103" spans="1:39" ht="15" thickBot="1" x14ac:dyDescent="0.25">
      <c r="A103">
        <f t="shared" si="35"/>
        <v>1</v>
      </c>
      <c r="B103" s="3" t="s">
        <v>26</v>
      </c>
      <c r="C103" s="3" t="s">
        <v>30</v>
      </c>
      <c r="D103" s="3" t="s">
        <v>75</v>
      </c>
      <c r="E103" s="3" t="s">
        <v>167</v>
      </c>
      <c r="F103" s="5">
        <v>0.18</v>
      </c>
      <c r="G103" s="5">
        <v>0.16500000000000001</v>
      </c>
      <c r="H103" s="5">
        <v>0.34699999999999998</v>
      </c>
      <c r="I103" s="5">
        <v>0.19</v>
      </c>
      <c r="J103" s="5">
        <v>0.30499999999999999</v>
      </c>
      <c r="K103" s="5">
        <v>0.23799999999999999</v>
      </c>
      <c r="L103" s="5">
        <v>0.215</v>
      </c>
      <c r="M103" s="5">
        <v>0.16</v>
      </c>
      <c r="N103" s="5">
        <v>0.216</v>
      </c>
      <c r="O103" s="5">
        <v>0.13600000000000001</v>
      </c>
      <c r="P103" s="5">
        <v>0.20499999999999999</v>
      </c>
      <c r="Q103" s="5">
        <v>0.16</v>
      </c>
      <c r="R103" s="5">
        <v>0.161</v>
      </c>
      <c r="S103" s="4">
        <v>0.16500000000000001</v>
      </c>
      <c r="T103" s="4">
        <v>0.29799999999999999</v>
      </c>
      <c r="U103" s="4">
        <v>0.16200000000000001</v>
      </c>
      <c r="V103" s="128">
        <v>0.32100000000000001</v>
      </c>
      <c r="W103" s="128">
        <v>0.2</v>
      </c>
      <c r="X103" s="128">
        <f>VLOOKUP(E103,Sheet5!$O:$Q,2,0)</f>
        <v>0.375</v>
      </c>
      <c r="Y103">
        <f>VLOOKUP(E103,Sheet5!O:P,2,0)</f>
        <v>0.375</v>
      </c>
      <c r="Z103" s="73" t="str">
        <f t="shared" si="36"/>
        <v>绥棱于坤</v>
      </c>
      <c r="AA103" s="71">
        <f t="shared" si="24"/>
        <v>162</v>
      </c>
      <c r="AB103" s="71">
        <f t="shared" si="25"/>
        <v>321</v>
      </c>
      <c r="AC103" s="71">
        <f t="shared" si="26"/>
        <v>200</v>
      </c>
      <c r="AD103">
        <f t="shared" si="27"/>
        <v>-0.14736842105263159</v>
      </c>
      <c r="AE103">
        <f t="shared" si="28"/>
        <v>5.2459016393442637E-2</v>
      </c>
      <c r="AF103">
        <f t="shared" si="29"/>
        <v>-0.15966386554621836</v>
      </c>
      <c r="AG103" s="71">
        <f t="shared" si="30"/>
        <v>375</v>
      </c>
      <c r="AH103" s="71">
        <f t="shared" si="31"/>
        <v>215</v>
      </c>
      <c r="AI103">
        <f t="shared" si="32"/>
        <v>0.7441860465116279</v>
      </c>
      <c r="AJ103">
        <f t="shared" si="33"/>
        <v>375</v>
      </c>
      <c r="AK103">
        <f t="shared" si="34"/>
        <v>1</v>
      </c>
      <c r="AL103" s="73" t="str">
        <f t="shared" si="22"/>
        <v>绥棱于坤</v>
      </c>
      <c r="AM103" s="73" t="str">
        <f t="shared" si="23"/>
        <v>伊春外埠所</v>
      </c>
    </row>
    <row r="104" spans="1:39" ht="15" thickBot="1" x14ac:dyDescent="0.25">
      <c r="A104">
        <f t="shared" si="35"/>
        <v>18</v>
      </c>
      <c r="B104" s="3" t="s">
        <v>26</v>
      </c>
      <c r="C104" s="3" t="s">
        <v>31</v>
      </c>
      <c r="D104" s="3" t="s">
        <v>73</v>
      </c>
      <c r="E104" s="3" t="s">
        <v>168</v>
      </c>
      <c r="F104" s="7">
        <v>0.44</v>
      </c>
      <c r="G104" s="7">
        <v>0.29399999999999998</v>
      </c>
      <c r="H104" s="7">
        <v>0.30599999999999999</v>
      </c>
      <c r="I104" s="7">
        <v>0.17</v>
      </c>
      <c r="J104" s="7">
        <v>0.45900000000000002</v>
      </c>
      <c r="K104" s="7">
        <v>0.22800000000000001</v>
      </c>
      <c r="L104" s="7">
        <v>0.21</v>
      </c>
      <c r="M104" s="7">
        <v>0.22500000000000001</v>
      </c>
      <c r="N104" s="7">
        <v>0.18</v>
      </c>
      <c r="O104" s="4">
        <v>0.38500000000000001</v>
      </c>
      <c r="P104" s="4">
        <v>0.40500000000000003</v>
      </c>
      <c r="Q104" s="4">
        <v>0.41</v>
      </c>
      <c r="R104" s="4">
        <v>0.441</v>
      </c>
      <c r="S104" s="4">
        <v>0.3</v>
      </c>
      <c r="T104" s="4">
        <v>0.255</v>
      </c>
      <c r="U104" s="4">
        <v>0.15</v>
      </c>
      <c r="V104" s="128">
        <v>0.45</v>
      </c>
      <c r="W104" s="128">
        <v>0.18</v>
      </c>
      <c r="X104" s="128">
        <f>VLOOKUP(E104,Sheet5!$O:$Q,2,0)</f>
        <v>0.21249999999999999</v>
      </c>
      <c r="Y104">
        <f>VLOOKUP(E104,Sheet5!O:P,2,0)</f>
        <v>0.21249999999999999</v>
      </c>
      <c r="Z104" s="73" t="str">
        <f t="shared" si="36"/>
        <v>安达祥鑫</v>
      </c>
      <c r="AA104" s="71">
        <f t="shared" si="24"/>
        <v>150</v>
      </c>
      <c r="AB104" s="71">
        <f t="shared" si="25"/>
        <v>450</v>
      </c>
      <c r="AC104" s="71">
        <f t="shared" si="26"/>
        <v>180</v>
      </c>
      <c r="AD104">
        <f t="shared" si="27"/>
        <v>-0.11764705882352955</v>
      </c>
      <c r="AE104">
        <f t="shared" si="28"/>
        <v>-1.9607843137254943E-2</v>
      </c>
      <c r="AF104">
        <f t="shared" si="29"/>
        <v>-0.21052631578947378</v>
      </c>
      <c r="AG104" s="71">
        <f t="shared" si="30"/>
        <v>212.5</v>
      </c>
      <c r="AH104" s="71">
        <f t="shared" si="31"/>
        <v>210</v>
      </c>
      <c r="AI104">
        <f t="shared" si="32"/>
        <v>1.1904761904761862E-2</v>
      </c>
      <c r="AJ104">
        <f t="shared" si="33"/>
        <v>212.5</v>
      </c>
      <c r="AK104">
        <f t="shared" si="34"/>
        <v>1</v>
      </c>
      <c r="AL104" s="73" t="str">
        <f t="shared" si="22"/>
        <v>安达祥鑫</v>
      </c>
      <c r="AM104" s="73" t="str">
        <f t="shared" si="23"/>
        <v>肇东外埠所</v>
      </c>
    </row>
    <row r="105" spans="1:39" ht="15" thickBot="1" x14ac:dyDescent="0.25">
      <c r="A105">
        <f t="shared" si="35"/>
        <v>21</v>
      </c>
      <c r="B105" s="3" t="s">
        <v>26</v>
      </c>
      <c r="C105" s="3" t="s">
        <v>31</v>
      </c>
      <c r="D105" s="3" t="s">
        <v>75</v>
      </c>
      <c r="E105" s="3" t="s">
        <v>169</v>
      </c>
      <c r="F105" s="5">
        <v>0.32200000000000001</v>
      </c>
      <c r="G105" s="5">
        <v>0.24</v>
      </c>
      <c r="H105" s="5">
        <v>0.15</v>
      </c>
      <c r="I105" s="5">
        <v>0.1</v>
      </c>
      <c r="J105" s="5">
        <v>0.23300000000000001</v>
      </c>
      <c r="K105" s="5">
        <v>0.21199999999999999</v>
      </c>
      <c r="L105" s="5">
        <v>0.28000000000000003</v>
      </c>
      <c r="M105" s="5">
        <v>0.16</v>
      </c>
      <c r="N105" s="5">
        <v>0.22500000000000001</v>
      </c>
      <c r="O105" s="5">
        <v>0.19900000000000001</v>
      </c>
      <c r="P105" s="5">
        <v>0.21</v>
      </c>
      <c r="Q105" s="5">
        <v>0.1</v>
      </c>
      <c r="R105" s="5">
        <v>0.15</v>
      </c>
      <c r="S105" s="5">
        <v>0.15</v>
      </c>
      <c r="T105" s="5">
        <v>0.14000000000000001</v>
      </c>
      <c r="U105" s="5">
        <v>0.05</v>
      </c>
      <c r="V105" s="129">
        <v>0.115</v>
      </c>
      <c r="W105" s="129">
        <v>0.08</v>
      </c>
      <c r="X105" s="129">
        <f>VLOOKUP(E105,Sheet5!$O:$Q,2,0)</f>
        <v>0.25</v>
      </c>
      <c r="Y105">
        <f>VLOOKUP(E105,Sheet5!O:P,2,0)</f>
        <v>0.25</v>
      </c>
      <c r="Z105" s="73" t="str">
        <f t="shared" si="36"/>
        <v>大同力运丰</v>
      </c>
      <c r="AA105" s="71">
        <f t="shared" si="24"/>
        <v>50</v>
      </c>
      <c r="AB105" s="71">
        <f t="shared" si="25"/>
        <v>115</v>
      </c>
      <c r="AC105" s="71">
        <f t="shared" si="26"/>
        <v>80</v>
      </c>
      <c r="AD105">
        <f t="shared" si="27"/>
        <v>-0.5</v>
      </c>
      <c r="AE105">
        <f t="shared" si="28"/>
        <v>-0.50643776824034337</v>
      </c>
      <c r="AF105">
        <f t="shared" si="29"/>
        <v>-0.62264150943396224</v>
      </c>
      <c r="AG105" s="71">
        <f t="shared" si="30"/>
        <v>250</v>
      </c>
      <c r="AH105" s="71">
        <f t="shared" si="31"/>
        <v>280</v>
      </c>
      <c r="AI105">
        <f t="shared" si="32"/>
        <v>-0.1071428571428571</v>
      </c>
      <c r="AJ105">
        <f t="shared" si="33"/>
        <v>250</v>
      </c>
      <c r="AK105">
        <f t="shared" si="34"/>
        <v>1</v>
      </c>
      <c r="AL105" s="73" t="str">
        <f t="shared" si="22"/>
        <v>大同力运丰</v>
      </c>
      <c r="AM105" s="73" t="str">
        <f t="shared" si="23"/>
        <v>肇东外埠所</v>
      </c>
    </row>
    <row r="106" spans="1:39" ht="15" thickBot="1" x14ac:dyDescent="0.25">
      <c r="A106">
        <f t="shared" si="35"/>
        <v>25</v>
      </c>
      <c r="B106" s="3" t="s">
        <v>26</v>
      </c>
      <c r="C106" s="3" t="s">
        <v>31</v>
      </c>
      <c r="D106" s="3" t="s">
        <v>75</v>
      </c>
      <c r="E106" s="3" t="s">
        <v>170</v>
      </c>
      <c r="F106" s="4">
        <v>0.18</v>
      </c>
      <c r="G106" s="4">
        <v>0.246</v>
      </c>
      <c r="H106" s="4">
        <v>0.10299999999999999</v>
      </c>
      <c r="I106" s="4">
        <v>0.08</v>
      </c>
      <c r="J106" s="4">
        <v>0.15</v>
      </c>
      <c r="K106" s="4">
        <v>0.153</v>
      </c>
      <c r="L106" s="4">
        <v>0.2</v>
      </c>
      <c r="M106" s="4">
        <v>0.2</v>
      </c>
      <c r="N106" s="4">
        <v>0.1</v>
      </c>
      <c r="O106" s="4">
        <v>0.27</v>
      </c>
      <c r="P106" s="4">
        <v>0.216</v>
      </c>
      <c r="Q106" s="4">
        <v>0.125</v>
      </c>
      <c r="R106" s="4">
        <v>0.18</v>
      </c>
      <c r="S106" s="4">
        <v>0.25</v>
      </c>
      <c r="T106" s="4">
        <v>0.14199999999999999</v>
      </c>
      <c r="U106" s="4">
        <v>0.08</v>
      </c>
      <c r="V106" s="128">
        <v>0.11899999999999999</v>
      </c>
      <c r="W106" s="128">
        <v>6.5000000000000002E-2</v>
      </c>
      <c r="X106" s="128">
        <f>VLOOKUP(E106,Sheet5!$O:$Q,2,0)</f>
        <v>0.1</v>
      </c>
      <c r="Y106">
        <f>VLOOKUP(E106,Sheet5!O:P,2,0)</f>
        <v>0.1</v>
      </c>
      <c r="Z106" s="73" t="str">
        <f t="shared" si="36"/>
        <v>红岗萌华</v>
      </c>
      <c r="AA106" s="71">
        <f t="shared" si="24"/>
        <v>80</v>
      </c>
      <c r="AB106" s="71">
        <f t="shared" si="25"/>
        <v>119</v>
      </c>
      <c r="AC106" s="71">
        <f t="shared" si="26"/>
        <v>65</v>
      </c>
      <c r="AD106">
        <f t="shared" si="27"/>
        <v>0</v>
      </c>
      <c r="AE106">
        <f t="shared" si="28"/>
        <v>-0.20666666666666667</v>
      </c>
      <c r="AF106">
        <f t="shared" si="29"/>
        <v>-0.57516339869281041</v>
      </c>
      <c r="AG106" s="71">
        <f t="shared" si="30"/>
        <v>100</v>
      </c>
      <c r="AH106" s="71">
        <f t="shared" si="31"/>
        <v>200</v>
      </c>
      <c r="AI106">
        <f t="shared" si="32"/>
        <v>-0.5</v>
      </c>
      <c r="AJ106">
        <f t="shared" si="33"/>
        <v>100</v>
      </c>
      <c r="AK106">
        <f t="shared" si="34"/>
        <v>1</v>
      </c>
      <c r="AL106" s="73" t="str">
        <f t="shared" si="22"/>
        <v>红岗萌华</v>
      </c>
      <c r="AM106" s="73" t="str">
        <f t="shared" si="23"/>
        <v>肇东外埠所</v>
      </c>
    </row>
    <row r="107" spans="1:39" ht="15" thickBot="1" x14ac:dyDescent="0.25">
      <c r="A107">
        <f t="shared" si="35"/>
        <v>22</v>
      </c>
      <c r="B107" s="3" t="s">
        <v>26</v>
      </c>
      <c r="C107" s="3" t="s">
        <v>31</v>
      </c>
      <c r="D107" s="3" t="s">
        <v>75</v>
      </c>
      <c r="E107" s="3" t="s">
        <v>171</v>
      </c>
      <c r="F107" s="5">
        <v>0.22</v>
      </c>
      <c r="G107" s="5">
        <v>0.16500000000000001</v>
      </c>
      <c r="H107" s="5">
        <v>0.28100000000000003</v>
      </c>
      <c r="I107" s="5">
        <v>0.16500000000000001</v>
      </c>
      <c r="J107" s="5">
        <v>0.25</v>
      </c>
      <c r="K107" s="5">
        <v>0.315</v>
      </c>
      <c r="L107" s="5">
        <v>0.2</v>
      </c>
      <c r="M107" s="5">
        <v>0.154</v>
      </c>
      <c r="N107" s="5">
        <v>0.18</v>
      </c>
      <c r="O107" s="5">
        <v>0.12</v>
      </c>
      <c r="P107" s="5">
        <v>0.24</v>
      </c>
      <c r="Q107" s="5">
        <v>0.155</v>
      </c>
      <c r="R107" s="5">
        <v>0.23</v>
      </c>
      <c r="S107" s="5">
        <v>0.16500000000000001</v>
      </c>
      <c r="T107" s="5">
        <v>0.221</v>
      </c>
      <c r="U107" s="5">
        <v>0.128</v>
      </c>
      <c r="V107" s="129">
        <v>0.245</v>
      </c>
      <c r="W107" s="129">
        <v>0.215</v>
      </c>
      <c r="X107" s="129">
        <f>VLOOKUP(E107,Sheet5!$O:$Q,2,0)</f>
        <v>0.13750000000000001</v>
      </c>
      <c r="Y107">
        <f>VLOOKUP(E107,Sheet5!O:P,2,0)</f>
        <v>0.13750000000000001</v>
      </c>
      <c r="Z107" s="73" t="str">
        <f t="shared" si="36"/>
        <v>杜蒙悍菲</v>
      </c>
      <c r="AA107" s="71">
        <f t="shared" si="24"/>
        <v>128</v>
      </c>
      <c r="AB107" s="71">
        <f t="shared" si="25"/>
        <v>245</v>
      </c>
      <c r="AC107" s="71">
        <f t="shared" si="26"/>
        <v>215</v>
      </c>
      <c r="AD107">
        <f t="shared" si="27"/>
        <v>-0.22424242424242424</v>
      </c>
      <c r="AE107">
        <f t="shared" si="28"/>
        <v>-2.0000000000000018E-2</v>
      </c>
      <c r="AF107">
        <f t="shared" si="29"/>
        <v>-0.31746031746031744</v>
      </c>
      <c r="AG107" s="71">
        <f t="shared" si="30"/>
        <v>137.5</v>
      </c>
      <c r="AH107" s="71">
        <f t="shared" si="31"/>
        <v>200</v>
      </c>
      <c r="AI107">
        <f t="shared" si="32"/>
        <v>-0.3125</v>
      </c>
      <c r="AJ107">
        <f t="shared" si="33"/>
        <v>137.5</v>
      </c>
      <c r="AK107">
        <f t="shared" si="34"/>
        <v>1</v>
      </c>
      <c r="AL107" s="73" t="str">
        <f t="shared" si="22"/>
        <v>杜蒙悍菲</v>
      </c>
      <c r="AM107" s="73" t="str">
        <f t="shared" si="23"/>
        <v>肇东外埠所</v>
      </c>
    </row>
    <row r="108" spans="1:39" ht="15" thickBot="1" x14ac:dyDescent="0.25">
      <c r="A108">
        <f t="shared" si="35"/>
        <v>23</v>
      </c>
      <c r="B108" s="3" t="s">
        <v>26</v>
      </c>
      <c r="C108" s="3" t="s">
        <v>31</v>
      </c>
      <c r="D108" s="3" t="s">
        <v>75</v>
      </c>
      <c r="E108" s="3" t="s">
        <v>172</v>
      </c>
      <c r="F108" s="5">
        <v>0.54</v>
      </c>
      <c r="G108" s="5">
        <v>0.25600000000000001</v>
      </c>
      <c r="H108" s="5">
        <v>0.26300000000000001</v>
      </c>
      <c r="I108" s="5">
        <v>0.19500000000000001</v>
      </c>
      <c r="J108" s="5">
        <v>0.27</v>
      </c>
      <c r="K108" s="5">
        <v>0.255</v>
      </c>
      <c r="L108" s="5">
        <v>0.22500000000000001</v>
      </c>
      <c r="M108" s="5">
        <v>0.27</v>
      </c>
      <c r="N108" s="5">
        <v>0.12</v>
      </c>
      <c r="O108" s="5">
        <v>0.315</v>
      </c>
      <c r="P108" s="5">
        <v>0.496</v>
      </c>
      <c r="Q108" s="5">
        <v>0.17499999999999999</v>
      </c>
      <c r="R108" s="5">
        <v>0.36199999999999999</v>
      </c>
      <c r="S108" s="5">
        <v>0.25600000000000001</v>
      </c>
      <c r="T108" s="5">
        <v>0.20399999999999999</v>
      </c>
      <c r="U108" s="5">
        <v>0.16200000000000001</v>
      </c>
      <c r="V108" s="129">
        <v>0.34499999999999997</v>
      </c>
      <c r="W108" s="129">
        <v>0.36</v>
      </c>
      <c r="X108" s="129">
        <f>VLOOKUP(E108,Sheet5!$O:$Q,2,0)</f>
        <v>0.15125</v>
      </c>
      <c r="Y108">
        <f>VLOOKUP(E108,Sheet5!O:P,2,0)</f>
        <v>0.15125</v>
      </c>
      <c r="Z108" s="73" t="str">
        <f t="shared" si="36"/>
        <v>林甸鑫铭鑫</v>
      </c>
      <c r="AA108" s="71">
        <f t="shared" si="24"/>
        <v>162</v>
      </c>
      <c r="AB108" s="71">
        <f t="shared" si="25"/>
        <v>345</v>
      </c>
      <c r="AC108" s="71">
        <f t="shared" si="26"/>
        <v>360</v>
      </c>
      <c r="AD108">
        <f t="shared" si="27"/>
        <v>-0.16923076923076918</v>
      </c>
      <c r="AE108">
        <f t="shared" si="28"/>
        <v>0.27777777777777768</v>
      </c>
      <c r="AF108">
        <f t="shared" si="29"/>
        <v>0.41176470588235281</v>
      </c>
      <c r="AG108" s="71">
        <f t="shared" si="30"/>
        <v>151.25</v>
      </c>
      <c r="AH108" s="71">
        <f t="shared" si="31"/>
        <v>225</v>
      </c>
      <c r="AI108">
        <f t="shared" si="32"/>
        <v>-0.32777777777777772</v>
      </c>
      <c r="AJ108">
        <f t="shared" si="33"/>
        <v>151.25</v>
      </c>
      <c r="AK108">
        <f t="shared" si="34"/>
        <v>1</v>
      </c>
      <c r="AL108" s="73" t="str">
        <f t="shared" si="22"/>
        <v>林甸鑫铭鑫</v>
      </c>
      <c r="AM108" s="73" t="str">
        <f t="shared" si="23"/>
        <v>肇东外埠所</v>
      </c>
    </row>
    <row r="109" spans="1:39" ht="15" thickBot="1" x14ac:dyDescent="0.25">
      <c r="A109">
        <v>13</v>
      </c>
      <c r="B109" s="3" t="s">
        <v>26</v>
      </c>
      <c r="C109" s="3" t="s">
        <v>31</v>
      </c>
      <c r="D109" s="3" t="s">
        <v>75</v>
      </c>
      <c r="E109" s="3" t="s">
        <v>173</v>
      </c>
      <c r="F109" s="4">
        <v>0.19</v>
      </c>
      <c r="G109" s="4">
        <v>0.28999999999999998</v>
      </c>
      <c r="H109" s="4">
        <v>0.159</v>
      </c>
      <c r="I109" s="4">
        <v>0.21</v>
      </c>
      <c r="J109" s="4">
        <v>0.32300000000000001</v>
      </c>
      <c r="K109" s="4">
        <v>0.22800000000000001</v>
      </c>
      <c r="L109" s="4">
        <v>0.28000000000000003</v>
      </c>
      <c r="M109" s="4">
        <v>0.19</v>
      </c>
      <c r="N109" s="4">
        <v>0.19500000000000001</v>
      </c>
      <c r="O109" s="4">
        <v>0.2</v>
      </c>
      <c r="P109" s="4">
        <v>0.255</v>
      </c>
      <c r="Q109" s="4">
        <v>0.222</v>
      </c>
      <c r="R109" s="4">
        <v>0.25</v>
      </c>
      <c r="S109" s="4">
        <v>0.32700000000000001</v>
      </c>
      <c r="T109" s="4">
        <v>0.16200000000000001</v>
      </c>
      <c r="U109" s="4">
        <v>0.18099999999999999</v>
      </c>
      <c r="V109" s="128">
        <v>0.33</v>
      </c>
      <c r="W109" s="128">
        <v>0.28999999999999998</v>
      </c>
      <c r="X109" s="128">
        <f>VLOOKUP(E109,Sheet5!$O:$Q,2,0)</f>
        <v>0.32500000000000001</v>
      </c>
      <c r="Y109">
        <f>VLOOKUP(E109,Sheet5!O:P,2,0)</f>
        <v>0.32500000000000001</v>
      </c>
      <c r="Z109" s="73" t="str">
        <f t="shared" si="36"/>
        <v>肇州鑫泉</v>
      </c>
      <c r="AA109" s="71">
        <f t="shared" si="24"/>
        <v>181</v>
      </c>
      <c r="AB109" s="71">
        <f t="shared" si="25"/>
        <v>330</v>
      </c>
      <c r="AC109" s="71">
        <f t="shared" si="26"/>
        <v>290</v>
      </c>
      <c r="AD109">
        <f t="shared" si="27"/>
        <v>-0.13809523809523805</v>
      </c>
      <c r="AE109">
        <f t="shared" si="28"/>
        <v>2.1671826625387025E-2</v>
      </c>
      <c r="AF109">
        <f t="shared" si="29"/>
        <v>0.27192982456140347</v>
      </c>
      <c r="AG109" s="71">
        <f t="shared" si="30"/>
        <v>325</v>
      </c>
      <c r="AH109" s="71">
        <f t="shared" si="31"/>
        <v>280</v>
      </c>
      <c r="AI109">
        <f t="shared" si="32"/>
        <v>0.16071428571428581</v>
      </c>
      <c r="AJ109">
        <f t="shared" si="33"/>
        <v>325</v>
      </c>
      <c r="AK109">
        <f t="shared" si="34"/>
        <v>1</v>
      </c>
      <c r="AL109" s="73" t="str">
        <f t="shared" si="22"/>
        <v>肇州鑫泉</v>
      </c>
      <c r="AM109" s="73" t="str">
        <f t="shared" si="23"/>
        <v>肇东外埠所</v>
      </c>
    </row>
    <row r="110" spans="1:39" ht="15" thickBot="1" x14ac:dyDescent="0.25">
      <c r="A110">
        <f t="shared" si="35"/>
        <v>26</v>
      </c>
      <c r="B110" s="3" t="s">
        <v>26</v>
      </c>
      <c r="C110" s="3" t="s">
        <v>31</v>
      </c>
      <c r="D110" s="3" t="s">
        <v>75</v>
      </c>
      <c r="E110" s="3" t="s">
        <v>192</v>
      </c>
      <c r="F110" s="5">
        <v>0.23</v>
      </c>
      <c r="G110" s="5">
        <v>0.29399999999999998</v>
      </c>
      <c r="H110" s="5">
        <v>0.224</v>
      </c>
      <c r="I110" s="5">
        <v>0.16</v>
      </c>
      <c r="J110" s="5">
        <v>0.32300000000000001</v>
      </c>
      <c r="K110" s="5">
        <v>0.251</v>
      </c>
      <c r="L110" s="5">
        <v>0.28000000000000003</v>
      </c>
      <c r="M110" s="5">
        <v>0.27100000000000002</v>
      </c>
      <c r="N110" s="5">
        <v>0.29799999999999999</v>
      </c>
      <c r="O110" s="5">
        <v>0.4</v>
      </c>
      <c r="P110" s="5">
        <v>0.22</v>
      </c>
      <c r="Q110" s="5">
        <v>0.40500000000000003</v>
      </c>
      <c r="R110" s="5">
        <v>0.23699999999999999</v>
      </c>
      <c r="S110" s="5">
        <v>0.3</v>
      </c>
      <c r="T110" s="5">
        <v>0.15</v>
      </c>
      <c r="U110" s="5">
        <v>0.16</v>
      </c>
      <c r="V110" s="129">
        <v>0.32</v>
      </c>
      <c r="W110" s="129">
        <v>0.19</v>
      </c>
      <c r="X110" s="129">
        <f>VLOOKUP(E110,Sheet5!$O:$Q,2,0)</f>
        <v>0.13750000000000001</v>
      </c>
      <c r="Y110">
        <f>VLOOKUP(E110,Sheet5!O:P,2,0)</f>
        <v>0.13750000000000001</v>
      </c>
      <c r="Z110" s="73" t="str">
        <f t="shared" si="36"/>
        <v>肇源晟康源</v>
      </c>
      <c r="AA110" s="71">
        <f t="shared" si="24"/>
        <v>160</v>
      </c>
      <c r="AB110" s="71">
        <f t="shared" si="25"/>
        <v>320</v>
      </c>
      <c r="AC110" s="71">
        <f t="shared" si="26"/>
        <v>190</v>
      </c>
      <c r="AD110">
        <f t="shared" si="27"/>
        <v>0</v>
      </c>
      <c r="AE110">
        <f t="shared" si="28"/>
        <v>-9.2879256965944235E-3</v>
      </c>
      <c r="AF110">
        <f t="shared" si="29"/>
        <v>-0.24302788844621515</v>
      </c>
      <c r="AG110" s="71">
        <f t="shared" si="30"/>
        <v>137.5</v>
      </c>
      <c r="AH110" s="71">
        <f t="shared" si="31"/>
        <v>280</v>
      </c>
      <c r="AI110">
        <f t="shared" si="32"/>
        <v>-0.5089285714285714</v>
      </c>
      <c r="AJ110">
        <f t="shared" si="33"/>
        <v>137.5</v>
      </c>
      <c r="AK110">
        <f t="shared" si="34"/>
        <v>1</v>
      </c>
      <c r="AL110" s="73" t="str">
        <f t="shared" si="22"/>
        <v>肇源晟康源</v>
      </c>
      <c r="AM110" s="73" t="str">
        <f t="shared" si="23"/>
        <v>肇东外埠所</v>
      </c>
    </row>
    <row r="111" spans="1:39" ht="15" thickBot="1" x14ac:dyDescent="0.25">
      <c r="A111">
        <f t="shared" si="35"/>
        <v>7</v>
      </c>
      <c r="B111" s="3" t="s">
        <v>26</v>
      </c>
      <c r="C111" s="3" t="s">
        <v>31</v>
      </c>
      <c r="D111" s="3" t="s">
        <v>83</v>
      </c>
      <c r="E111" s="3" t="s">
        <v>214</v>
      </c>
      <c r="F111" s="4">
        <v>0.53</v>
      </c>
      <c r="G111" s="4">
        <v>0.3</v>
      </c>
      <c r="H111" s="4">
        <v>0.39300000000000002</v>
      </c>
      <c r="I111" s="4">
        <v>0.30399999999999999</v>
      </c>
      <c r="J111" s="4">
        <v>0.77500000000000002</v>
      </c>
      <c r="K111" s="4">
        <v>0.31</v>
      </c>
      <c r="L111" s="4">
        <v>0.40699999999999997</v>
      </c>
      <c r="M111" s="4">
        <v>0.27500000000000002</v>
      </c>
      <c r="N111" s="4">
        <v>0.46800000000000003</v>
      </c>
      <c r="O111" s="4">
        <v>0.30599999999999999</v>
      </c>
      <c r="P111" s="4">
        <v>0.8</v>
      </c>
      <c r="Q111" s="4">
        <v>0.67400000000000004</v>
      </c>
      <c r="R111" s="4">
        <v>0.64200000000000002</v>
      </c>
      <c r="S111" s="4">
        <v>0.32500000000000001</v>
      </c>
      <c r="T111" s="4">
        <v>0.4</v>
      </c>
      <c r="U111" s="4">
        <v>0.3</v>
      </c>
      <c r="V111" s="128">
        <v>0.76</v>
      </c>
      <c r="W111" s="128">
        <v>0.20300000000000001</v>
      </c>
      <c r="X111" s="128">
        <f>VLOOKUP(E111,Sheet5!$O:$Q,2,0)</f>
        <v>0.48749999999999999</v>
      </c>
      <c r="Y111">
        <f>VLOOKUP(E111,Sheet5!O:P,2,0)</f>
        <v>0.48749999999999999</v>
      </c>
      <c r="Z111" s="73" t="str">
        <f t="shared" si="36"/>
        <v>肇东汇百康</v>
      </c>
      <c r="AA111" s="71">
        <f t="shared" si="24"/>
        <v>300</v>
      </c>
      <c r="AB111" s="71">
        <f t="shared" si="25"/>
        <v>760</v>
      </c>
      <c r="AC111" s="71">
        <f t="shared" si="26"/>
        <v>203</v>
      </c>
      <c r="AD111">
        <f t="shared" si="27"/>
        <v>-1.3157894736842146E-2</v>
      </c>
      <c r="AE111">
        <f t="shared" si="28"/>
        <v>-1.9354838709677469E-2</v>
      </c>
      <c r="AF111">
        <f t="shared" si="29"/>
        <v>-0.34516129032258058</v>
      </c>
      <c r="AG111" s="71">
        <f t="shared" si="30"/>
        <v>487.5</v>
      </c>
      <c r="AH111" s="71">
        <f t="shared" si="31"/>
        <v>407</v>
      </c>
      <c r="AI111">
        <f t="shared" si="32"/>
        <v>0.19778869778869779</v>
      </c>
      <c r="AJ111">
        <f t="shared" si="33"/>
        <v>487.5</v>
      </c>
      <c r="AK111">
        <f t="shared" si="34"/>
        <v>1</v>
      </c>
      <c r="AL111" s="73" t="str">
        <f t="shared" si="22"/>
        <v>肇东汇百康</v>
      </c>
      <c r="AM111" s="73" t="str">
        <f t="shared" si="23"/>
        <v>肇东外埠所</v>
      </c>
    </row>
  </sheetData>
  <mergeCells count="6">
    <mergeCell ref="AG4:AK4"/>
    <mergeCell ref="B3:D4"/>
    <mergeCell ref="F3:U3"/>
    <mergeCell ref="F4:U4"/>
    <mergeCell ref="AA4:AC4"/>
    <mergeCell ref="AD4:AF4"/>
  </mergeCells>
  <phoneticPr fontId="19" type="noConversion"/>
  <conditionalFormatting sqref="A80:A111">
    <cfRule type="duplicateValues" dxfId="18" priority="1"/>
  </conditionalFormatting>
  <pageMargins left="0.7" right="0.7" top="0.75" bottom="0.75" header="0.3" footer="0.3"/>
  <pageSetup paperSize="9" orientation="portrait" verticalDpi="0" r:id="rId1"/>
  <customProperties>
    <customPr name="_pios_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7"/>
  <sheetViews>
    <sheetView topLeftCell="A8" workbookViewId="0">
      <selection activeCell="O28" sqref="O1:O1048576"/>
    </sheetView>
  </sheetViews>
  <sheetFormatPr defaultRowHeight="14.25" x14ac:dyDescent="0.2"/>
  <cols>
    <col min="1" max="1" width="12.25" customWidth="1"/>
    <col min="2" max="2" width="14.75" customWidth="1"/>
    <col min="3" max="3" width="17.25" customWidth="1"/>
    <col min="4" max="10" width="9.75" customWidth="1"/>
    <col min="11" max="11" width="9.25" customWidth="1"/>
    <col min="12" max="14" width="7.5" customWidth="1"/>
    <col min="15" max="15" width="11.375" customWidth="1"/>
    <col min="16" max="16" width="21.75" customWidth="1"/>
    <col min="17" max="17" width="25" customWidth="1"/>
  </cols>
  <sheetData>
    <row r="1" spans="1:17" x14ac:dyDescent="0.2">
      <c r="A1" s="160" t="s">
        <v>207</v>
      </c>
      <c r="B1" s="160" t="s">
        <v>207</v>
      </c>
      <c r="C1" s="160" t="s">
        <v>183</v>
      </c>
      <c r="D1" s="161" t="s">
        <v>1</v>
      </c>
      <c r="E1" s="161" t="s">
        <v>1</v>
      </c>
      <c r="F1" s="161" t="s">
        <v>1</v>
      </c>
      <c r="G1" s="161" t="s">
        <v>1</v>
      </c>
      <c r="H1" s="161" t="s">
        <v>1</v>
      </c>
      <c r="I1" s="161" t="s">
        <v>1</v>
      </c>
      <c r="J1" s="161" t="s">
        <v>1</v>
      </c>
      <c r="K1" s="175" t="s">
        <v>34</v>
      </c>
      <c r="O1" s="160" t="s">
        <v>35</v>
      </c>
      <c r="P1" s="161" t="s">
        <v>222</v>
      </c>
      <c r="Q1" s="161" t="s">
        <v>222</v>
      </c>
    </row>
    <row r="2" spans="1:17" x14ac:dyDescent="0.2">
      <c r="A2" s="160" t="s">
        <v>184</v>
      </c>
      <c r="B2" s="160" t="s">
        <v>207</v>
      </c>
      <c r="C2" s="160" t="s">
        <v>216</v>
      </c>
      <c r="D2" s="161" t="s">
        <v>194</v>
      </c>
      <c r="E2" s="161" t="s">
        <v>37</v>
      </c>
      <c r="F2" s="161" t="s">
        <v>38</v>
      </c>
      <c r="G2" s="161" t="s">
        <v>39</v>
      </c>
      <c r="H2" s="161" t="s">
        <v>40</v>
      </c>
      <c r="I2" s="161" t="s">
        <v>41</v>
      </c>
      <c r="J2" s="163" t="s">
        <v>3</v>
      </c>
      <c r="K2" s="170"/>
      <c r="O2" s="160" t="s">
        <v>0</v>
      </c>
      <c r="P2" s="162" t="s">
        <v>1</v>
      </c>
      <c r="Q2" s="161" t="s">
        <v>1</v>
      </c>
    </row>
    <row r="3" spans="1:17" x14ac:dyDescent="0.2">
      <c r="A3" s="161" t="s">
        <v>185</v>
      </c>
      <c r="B3" s="162" t="s">
        <v>42</v>
      </c>
      <c r="C3" s="161" t="s">
        <v>95</v>
      </c>
      <c r="D3" s="165">
        <v>0.87892376681614393</v>
      </c>
      <c r="E3" s="165">
        <v>0.123417721518987</v>
      </c>
      <c r="F3" s="165">
        <v>0.13457556935817799</v>
      </c>
      <c r="G3" s="165">
        <v>0.229885057471264</v>
      </c>
      <c r="H3" s="165">
        <v>0.13968253968253999</v>
      </c>
      <c r="I3" s="165">
        <v>0.195402298850575</v>
      </c>
      <c r="J3" s="166">
        <v>0.45548654244306397</v>
      </c>
      <c r="K3" s="168">
        <v>0.45548654244306397</v>
      </c>
      <c r="O3" s="160" t="s">
        <v>215</v>
      </c>
      <c r="P3" s="161" t="s">
        <v>223</v>
      </c>
      <c r="Q3" s="161" t="s">
        <v>54</v>
      </c>
    </row>
    <row r="4" spans="1:17" x14ac:dyDescent="0.2">
      <c r="A4" s="161" t="s">
        <v>185</v>
      </c>
      <c r="B4" s="162" t="s">
        <v>42</v>
      </c>
      <c r="C4" s="161" t="s">
        <v>131</v>
      </c>
      <c r="D4" s="165">
        <v>0.89542483660130701</v>
      </c>
      <c r="E4" s="165">
        <v>0.35416666666666702</v>
      </c>
      <c r="F4" s="165">
        <v>0.46036585365853705</v>
      </c>
      <c r="G4" s="165">
        <v>0.77272727272727293</v>
      </c>
      <c r="H4" s="165">
        <v>0.50347222222222199</v>
      </c>
      <c r="I4" s="165">
        <v>0.72727272727272707</v>
      </c>
      <c r="J4" s="166">
        <v>0.60365853658536606</v>
      </c>
      <c r="K4" s="168">
        <v>0.60365853658536606</v>
      </c>
      <c r="O4" s="161" t="s">
        <v>162</v>
      </c>
      <c r="P4" s="178">
        <v>0.375</v>
      </c>
      <c r="Q4" s="172">
        <v>0.19600000000000001</v>
      </c>
    </row>
    <row r="5" spans="1:17" x14ac:dyDescent="0.2">
      <c r="A5" s="161" t="s">
        <v>185</v>
      </c>
      <c r="B5" s="162" t="s">
        <v>42</v>
      </c>
      <c r="C5" s="161" t="s">
        <v>168</v>
      </c>
      <c r="D5" s="165">
        <v>0.86713286713286708</v>
      </c>
      <c r="E5" s="165">
        <v>0.56741573033707904</v>
      </c>
      <c r="F5" s="165">
        <v>0.54676258992805804</v>
      </c>
      <c r="G5" s="165">
        <v>0.6</v>
      </c>
      <c r="H5" s="165">
        <v>0.58100558659217905</v>
      </c>
      <c r="I5" s="165">
        <v>0.72413793103448298</v>
      </c>
      <c r="J5" s="166">
        <v>0.72422062350119898</v>
      </c>
      <c r="K5" s="168">
        <v>0.72422062350119898</v>
      </c>
      <c r="O5" s="161" t="s">
        <v>90</v>
      </c>
      <c r="P5" s="178">
        <v>0.61375000000000002</v>
      </c>
      <c r="Q5" s="172">
        <v>0.64</v>
      </c>
    </row>
    <row r="6" spans="1:17" x14ac:dyDescent="0.2">
      <c r="A6" s="161" t="s">
        <v>185</v>
      </c>
      <c r="B6" s="162" t="s">
        <v>42</v>
      </c>
      <c r="C6" s="161" t="s">
        <v>76</v>
      </c>
      <c r="D6" s="165">
        <v>0.97499999999999998</v>
      </c>
      <c r="E6" s="165">
        <v>0.95041322314049592</v>
      </c>
      <c r="F6" s="165">
        <v>0.97267759562841505</v>
      </c>
      <c r="G6" s="165">
        <v>1</v>
      </c>
      <c r="H6" s="165">
        <v>0.95867768595041303</v>
      </c>
      <c r="I6" s="165">
        <v>1</v>
      </c>
      <c r="J6" s="166">
        <v>0.97267759562841505</v>
      </c>
      <c r="K6" s="168">
        <v>0.97267759562841505</v>
      </c>
      <c r="O6" s="161" t="s">
        <v>104</v>
      </c>
      <c r="P6" s="178">
        <v>0.625</v>
      </c>
      <c r="Q6" s="172">
        <v>0.26200000000000001</v>
      </c>
    </row>
    <row r="7" spans="1:17" x14ac:dyDescent="0.2">
      <c r="A7" s="161" t="s">
        <v>185</v>
      </c>
      <c r="B7" s="162" t="s">
        <v>42</v>
      </c>
      <c r="C7" s="161" t="s">
        <v>224</v>
      </c>
      <c r="D7" s="165">
        <v>0</v>
      </c>
      <c r="E7" s="165">
        <v>0</v>
      </c>
      <c r="F7" s="165">
        <v>0</v>
      </c>
      <c r="G7" s="159"/>
      <c r="H7" s="165">
        <v>0</v>
      </c>
      <c r="I7" s="159"/>
      <c r="J7" s="166">
        <v>0</v>
      </c>
      <c r="K7" s="168">
        <v>0</v>
      </c>
      <c r="O7" s="161" t="s">
        <v>125</v>
      </c>
      <c r="P7" s="178">
        <v>0.23125000000000001</v>
      </c>
      <c r="Q7" s="172">
        <v>0.26700000000000002</v>
      </c>
    </row>
    <row r="8" spans="1:17" x14ac:dyDescent="0.2">
      <c r="A8" s="161" t="s">
        <v>185</v>
      </c>
      <c r="B8" s="162" t="s">
        <v>42</v>
      </c>
      <c r="C8" s="161" t="s">
        <v>196</v>
      </c>
      <c r="D8" s="165">
        <v>0.79166666666666696</v>
      </c>
      <c r="E8" s="165">
        <v>0.65100671140939592</v>
      </c>
      <c r="F8" s="165">
        <v>0.58938547486033499</v>
      </c>
      <c r="G8" s="165">
        <v>0.60714285714285698</v>
      </c>
      <c r="H8" s="165">
        <v>0.75838926174496601</v>
      </c>
      <c r="I8" s="165">
        <v>0.78571428571428603</v>
      </c>
      <c r="J8" s="166">
        <v>0.72346368715083798</v>
      </c>
      <c r="K8" s="168">
        <v>0.72346368715083798</v>
      </c>
      <c r="O8" s="161" t="s">
        <v>118</v>
      </c>
      <c r="P8" s="178">
        <v>0.56125000000000003</v>
      </c>
      <c r="Q8" s="172">
        <v>0.52200000000000002</v>
      </c>
    </row>
    <row r="9" spans="1:17" x14ac:dyDescent="0.2">
      <c r="A9" s="161" t="s">
        <v>185</v>
      </c>
      <c r="B9" s="162" t="s">
        <v>42</v>
      </c>
      <c r="C9" s="161" t="s">
        <v>118</v>
      </c>
      <c r="D9" s="165">
        <v>0.58918918918918894</v>
      </c>
      <c r="E9" s="165">
        <v>0.41218637992831503</v>
      </c>
      <c r="F9" s="165">
        <v>0.38783269961977196</v>
      </c>
      <c r="G9" s="165">
        <v>0.9</v>
      </c>
      <c r="H9" s="165">
        <v>0.483754512635379</v>
      </c>
      <c r="I9" s="165">
        <v>0.8</v>
      </c>
      <c r="J9" s="166">
        <v>0.498098859315589</v>
      </c>
      <c r="K9" s="168">
        <v>0.498098859315589</v>
      </c>
      <c r="O9" s="161" t="s">
        <v>157</v>
      </c>
      <c r="P9" s="178">
        <v>0.125</v>
      </c>
      <c r="Q9" s="172">
        <v>0.11600000000000001</v>
      </c>
    </row>
    <row r="10" spans="1:17" x14ac:dyDescent="0.2">
      <c r="A10" s="161" t="s">
        <v>185</v>
      </c>
      <c r="B10" s="162" t="s">
        <v>42</v>
      </c>
      <c r="C10" s="161" t="s">
        <v>152</v>
      </c>
      <c r="D10" s="165">
        <v>0.85384615384615403</v>
      </c>
      <c r="E10" s="165">
        <v>0.67630057803468202</v>
      </c>
      <c r="F10" s="165">
        <v>0.76444444444444404</v>
      </c>
      <c r="G10" s="165">
        <v>1</v>
      </c>
      <c r="H10" s="165">
        <v>0.75</v>
      </c>
      <c r="I10" s="165">
        <v>1</v>
      </c>
      <c r="J10" s="166">
        <v>0.82888888888888901</v>
      </c>
      <c r="K10" s="168">
        <v>0.82888888888888901</v>
      </c>
      <c r="O10" s="161" t="s">
        <v>119</v>
      </c>
      <c r="P10" s="178">
        <v>0.22750000000000001</v>
      </c>
      <c r="Q10" s="172">
        <v>0.21199999999999999</v>
      </c>
    </row>
    <row r="11" spans="1:17" x14ac:dyDescent="0.2">
      <c r="A11" s="161" t="s">
        <v>185</v>
      </c>
      <c r="B11" s="162" t="s">
        <v>42</v>
      </c>
      <c r="C11" s="161" t="s">
        <v>74</v>
      </c>
      <c r="D11" s="165">
        <v>0.9609375</v>
      </c>
      <c r="E11" s="165">
        <v>0.65633074935400504</v>
      </c>
      <c r="F11" s="165">
        <v>0.60155038759689905</v>
      </c>
      <c r="G11" s="165">
        <v>0.8</v>
      </c>
      <c r="H11" s="165">
        <v>0.6744186046511631</v>
      </c>
      <c r="I11" s="165">
        <v>0.78181818181818197</v>
      </c>
      <c r="J11" s="166">
        <v>0.72558139534883692</v>
      </c>
      <c r="K11" s="168">
        <v>0.72558139534883692</v>
      </c>
      <c r="O11" s="161" t="s">
        <v>91</v>
      </c>
      <c r="P11" s="178">
        <v>0.34375</v>
      </c>
      <c r="Q11" s="172">
        <v>0.624</v>
      </c>
    </row>
    <row r="12" spans="1:17" x14ac:dyDescent="0.2">
      <c r="A12" s="161" t="s">
        <v>185</v>
      </c>
      <c r="B12" s="162" t="s">
        <v>42</v>
      </c>
      <c r="C12" s="161" t="s">
        <v>112</v>
      </c>
      <c r="D12" s="165">
        <v>0.82758620689655205</v>
      </c>
      <c r="E12" s="165">
        <v>0.119402985074627</v>
      </c>
      <c r="F12" s="165">
        <v>0.17532467532467499</v>
      </c>
      <c r="G12" s="165">
        <v>0.30769230769230799</v>
      </c>
      <c r="H12" s="165">
        <v>0.20895522388059701</v>
      </c>
      <c r="I12" s="165">
        <v>0.38461538461538503</v>
      </c>
      <c r="J12" s="166">
        <v>0.38311688311688302</v>
      </c>
      <c r="K12" s="168">
        <v>0.38311688311688302</v>
      </c>
      <c r="O12" s="161" t="s">
        <v>107</v>
      </c>
      <c r="P12" s="178">
        <v>0.72124999999999995</v>
      </c>
      <c r="Q12" s="172">
        <v>0.56499999999999995</v>
      </c>
    </row>
    <row r="13" spans="1:17" x14ac:dyDescent="0.2">
      <c r="A13" s="161" t="s">
        <v>185</v>
      </c>
      <c r="B13" s="162" t="s">
        <v>42</v>
      </c>
      <c r="C13" s="161" t="s">
        <v>188</v>
      </c>
      <c r="D13" s="165">
        <v>0.98139534883720903</v>
      </c>
      <c r="E13" s="165">
        <v>0.87951807228915702</v>
      </c>
      <c r="F13" s="165">
        <v>0.86374695863746997</v>
      </c>
      <c r="G13" s="165">
        <v>0.93846153846153801</v>
      </c>
      <c r="H13" s="165">
        <v>0.91836734693877498</v>
      </c>
      <c r="I13" s="165">
        <v>0.93650793650793607</v>
      </c>
      <c r="J13" s="166">
        <v>0.90267639902676389</v>
      </c>
      <c r="K13" s="168">
        <v>0.90267639902676389</v>
      </c>
      <c r="O13" s="161" t="s">
        <v>141</v>
      </c>
      <c r="P13" s="178">
        <v>0.125</v>
      </c>
      <c r="Q13" s="172">
        <v>8.6999999999999994E-2</v>
      </c>
    </row>
    <row r="14" spans="1:17" x14ac:dyDescent="0.2">
      <c r="A14" s="161" t="s">
        <v>185</v>
      </c>
      <c r="B14" s="162" t="s">
        <v>42</v>
      </c>
      <c r="C14" s="161" t="s">
        <v>86</v>
      </c>
      <c r="D14" s="165">
        <v>0.96887159533073897</v>
      </c>
      <c r="E14" s="165">
        <v>0.92076502732240395</v>
      </c>
      <c r="F14" s="165">
        <v>0.85198555956678701</v>
      </c>
      <c r="G14" s="165">
        <v>0.93684210526315792</v>
      </c>
      <c r="H14" s="165">
        <v>0.94475138121547009</v>
      </c>
      <c r="I14" s="165">
        <v>0.934782608695652</v>
      </c>
      <c r="J14" s="166">
        <v>0.87545126353790592</v>
      </c>
      <c r="K14" s="168">
        <v>0.87545126353790592</v>
      </c>
      <c r="O14" s="161" t="s">
        <v>127</v>
      </c>
      <c r="P14" s="178">
        <v>0.3</v>
      </c>
      <c r="Q14" s="172">
        <v>0.34899999999999998</v>
      </c>
    </row>
    <row r="15" spans="1:17" x14ac:dyDescent="0.2">
      <c r="A15" s="161" t="s">
        <v>185</v>
      </c>
      <c r="B15" s="162" t="s">
        <v>42</v>
      </c>
      <c r="C15" s="161" t="s">
        <v>147</v>
      </c>
      <c r="D15" s="165">
        <v>0.920595533498759</v>
      </c>
      <c r="E15" s="165">
        <v>0.20433996383363501</v>
      </c>
      <c r="F15" s="165">
        <v>0.47180192572214602</v>
      </c>
      <c r="G15" s="165">
        <v>0.585798816568047</v>
      </c>
      <c r="H15" s="165">
        <v>0.45108695652173902</v>
      </c>
      <c r="I15" s="165">
        <v>0.351190476190476</v>
      </c>
      <c r="J15" s="166">
        <v>0.78266850068775795</v>
      </c>
      <c r="K15" s="168">
        <v>0.78266850068775795</v>
      </c>
      <c r="O15" s="161" t="s">
        <v>109</v>
      </c>
      <c r="P15" s="178">
        <v>0.30249999999999999</v>
      </c>
      <c r="Q15" s="172">
        <v>0.28199999999999997</v>
      </c>
    </row>
    <row r="16" spans="1:17" x14ac:dyDescent="0.2">
      <c r="A16" s="161" t="s">
        <v>185</v>
      </c>
      <c r="B16" s="162" t="s">
        <v>42</v>
      </c>
      <c r="C16" s="161" t="s">
        <v>149</v>
      </c>
      <c r="D16" s="165">
        <v>0.918604651162791</v>
      </c>
      <c r="E16" s="165">
        <v>0.29587155963302797</v>
      </c>
      <c r="F16" s="165">
        <v>0.42900763358778599</v>
      </c>
      <c r="G16" s="165">
        <v>0.55284552845528501</v>
      </c>
      <c r="H16" s="165">
        <v>0.37735849056603799</v>
      </c>
      <c r="I16" s="165">
        <v>0.36065573770491804</v>
      </c>
      <c r="J16" s="166">
        <v>0.795419847328244</v>
      </c>
      <c r="K16" s="168">
        <v>0.795419847328244</v>
      </c>
      <c r="O16" s="161" t="s">
        <v>163</v>
      </c>
      <c r="P16" s="178">
        <v>0.46250000000000002</v>
      </c>
      <c r="Q16" s="172">
        <v>0.29599999999999999</v>
      </c>
    </row>
    <row r="17" spans="1:17" x14ac:dyDescent="0.2">
      <c r="A17" s="161" t="s">
        <v>185</v>
      </c>
      <c r="B17" s="162" t="s">
        <v>42</v>
      </c>
      <c r="C17" s="161" t="s">
        <v>169</v>
      </c>
      <c r="D17" s="165">
        <v>1</v>
      </c>
      <c r="E17" s="165">
        <v>1</v>
      </c>
      <c r="F17" s="165">
        <v>1</v>
      </c>
      <c r="G17" s="165">
        <v>1</v>
      </c>
      <c r="H17" s="165">
        <v>1</v>
      </c>
      <c r="I17" s="165">
        <v>1</v>
      </c>
      <c r="J17" s="166">
        <v>1</v>
      </c>
      <c r="K17" s="168">
        <v>1</v>
      </c>
      <c r="O17" s="161" t="s">
        <v>87</v>
      </c>
      <c r="P17" s="178">
        <v>0.28249999999999997</v>
      </c>
      <c r="Q17" s="172">
        <v>0.36</v>
      </c>
    </row>
    <row r="18" spans="1:17" x14ac:dyDescent="0.2">
      <c r="A18" s="161" t="s">
        <v>185</v>
      </c>
      <c r="B18" s="162" t="s">
        <v>42</v>
      </c>
      <c r="C18" s="161" t="s">
        <v>144</v>
      </c>
      <c r="D18" s="165">
        <v>0.83098591549295808</v>
      </c>
      <c r="E18" s="165">
        <v>0.164948453608247</v>
      </c>
      <c r="F18" s="165">
        <v>0.17886178861788601</v>
      </c>
      <c r="G18" s="165">
        <v>0.55555555555555602</v>
      </c>
      <c r="H18" s="165">
        <v>0.23711340206185599</v>
      </c>
      <c r="I18" s="165">
        <v>0.44444444444444398</v>
      </c>
      <c r="J18" s="166">
        <v>0.54471544715447207</v>
      </c>
      <c r="K18" s="168">
        <v>0.54471544715447207</v>
      </c>
      <c r="O18" s="161" t="s">
        <v>76</v>
      </c>
      <c r="P18" s="178">
        <v>0.19750000000000001</v>
      </c>
      <c r="Q18" s="172">
        <v>0.36699999999999999</v>
      </c>
    </row>
    <row r="19" spans="1:17" x14ac:dyDescent="0.2">
      <c r="A19" s="161" t="s">
        <v>185</v>
      </c>
      <c r="B19" s="162" t="s">
        <v>42</v>
      </c>
      <c r="C19" s="161" t="s">
        <v>88</v>
      </c>
      <c r="D19" s="165">
        <v>0.99047619047619095</v>
      </c>
      <c r="E19" s="165">
        <v>0.94673123486682798</v>
      </c>
      <c r="F19" s="165">
        <v>0.91198786039453694</v>
      </c>
      <c r="G19" s="165">
        <v>0.95876288659793796</v>
      </c>
      <c r="H19" s="165">
        <v>0.9678217821782179</v>
      </c>
      <c r="I19" s="165">
        <v>1</v>
      </c>
      <c r="J19" s="166">
        <v>0.91805766312594794</v>
      </c>
      <c r="K19" s="168">
        <v>0.91805766312594794</v>
      </c>
      <c r="O19" s="161" t="s">
        <v>164</v>
      </c>
      <c r="P19" s="178">
        <v>0.36249999999999999</v>
      </c>
      <c r="Q19" s="172">
        <v>0.19600000000000001</v>
      </c>
    </row>
    <row r="20" spans="1:17" x14ac:dyDescent="0.2">
      <c r="A20" s="161" t="s">
        <v>185</v>
      </c>
      <c r="B20" s="162" t="s">
        <v>42</v>
      </c>
      <c r="C20" s="161" t="s">
        <v>87</v>
      </c>
      <c r="D20" s="165">
        <v>0.98939929328621901</v>
      </c>
      <c r="E20" s="165">
        <v>0.97715736040609102</v>
      </c>
      <c r="F20" s="165">
        <v>0.97432024169184306</v>
      </c>
      <c r="G20" s="165">
        <v>1</v>
      </c>
      <c r="H20" s="165">
        <v>0.98724489795918402</v>
      </c>
      <c r="I20" s="165">
        <v>1</v>
      </c>
      <c r="J20" s="166">
        <v>0.97583081570996999</v>
      </c>
      <c r="K20" s="168">
        <v>0.97583081570996999</v>
      </c>
      <c r="O20" s="161" t="s">
        <v>169</v>
      </c>
      <c r="P20" s="178">
        <v>0.25</v>
      </c>
      <c r="Q20" s="172">
        <v>0.2</v>
      </c>
    </row>
    <row r="21" spans="1:17" x14ac:dyDescent="0.2">
      <c r="A21" s="161" t="s">
        <v>185</v>
      </c>
      <c r="B21" s="162" t="s">
        <v>42</v>
      </c>
      <c r="C21" s="161" t="s">
        <v>189</v>
      </c>
      <c r="D21" s="165">
        <v>0.96071428571428596</v>
      </c>
      <c r="E21" s="165">
        <v>0.94871794871794901</v>
      </c>
      <c r="F21" s="165">
        <v>0.95268817204301104</v>
      </c>
      <c r="G21" s="165">
        <v>1</v>
      </c>
      <c r="H21" s="165">
        <v>0.95726495726495697</v>
      </c>
      <c r="I21" s="165">
        <v>1</v>
      </c>
      <c r="J21" s="166">
        <v>0.96344086021505404</v>
      </c>
      <c r="K21" s="168">
        <v>0.96344086021505404</v>
      </c>
      <c r="O21" s="161" t="s">
        <v>96</v>
      </c>
      <c r="P21" s="178">
        <v>0.15125</v>
      </c>
      <c r="Q21" s="172">
        <v>0.315</v>
      </c>
    </row>
    <row r="22" spans="1:17" x14ac:dyDescent="0.2">
      <c r="A22" s="161" t="s">
        <v>185</v>
      </c>
      <c r="B22" s="162" t="s">
        <v>42</v>
      </c>
      <c r="C22" s="161" t="s">
        <v>208</v>
      </c>
      <c r="D22" s="165">
        <v>0</v>
      </c>
      <c r="E22" s="165">
        <v>0</v>
      </c>
      <c r="F22" s="165">
        <v>0</v>
      </c>
      <c r="G22" s="159"/>
      <c r="H22" s="165">
        <v>0</v>
      </c>
      <c r="I22" s="159"/>
      <c r="J22" s="166">
        <v>0</v>
      </c>
      <c r="K22" s="168">
        <v>0</v>
      </c>
      <c r="O22" s="161" t="s">
        <v>74</v>
      </c>
      <c r="P22" s="178">
        <v>0.32500000000000001</v>
      </c>
      <c r="Q22" s="172">
        <v>0.97599999999999998</v>
      </c>
    </row>
    <row r="23" spans="1:17" x14ac:dyDescent="0.2">
      <c r="A23" s="161" t="s">
        <v>185</v>
      </c>
      <c r="B23" s="162" t="s">
        <v>42</v>
      </c>
      <c r="C23" s="161" t="s">
        <v>104</v>
      </c>
      <c r="D23" s="165">
        <v>0.43689320388349501</v>
      </c>
      <c r="E23" s="165">
        <v>0.71631205673758902</v>
      </c>
      <c r="F23" s="165">
        <v>0.73660714285714302</v>
      </c>
      <c r="G23" s="165">
        <v>1</v>
      </c>
      <c r="H23" s="165">
        <v>0.85106382978723405</v>
      </c>
      <c r="I23" s="165">
        <v>1</v>
      </c>
      <c r="J23" s="166">
        <v>0.90625</v>
      </c>
      <c r="K23" s="168">
        <v>0.90625</v>
      </c>
      <c r="O23" s="161" t="s">
        <v>103</v>
      </c>
      <c r="P23" s="178">
        <v>8.1250000000000003E-2</v>
      </c>
      <c r="Q23" s="172">
        <v>0.32400000000000001</v>
      </c>
    </row>
    <row r="24" spans="1:17" x14ac:dyDescent="0.2">
      <c r="A24" s="161" t="s">
        <v>185</v>
      </c>
      <c r="B24" s="162" t="s">
        <v>42</v>
      </c>
      <c r="C24" s="161" t="s">
        <v>209</v>
      </c>
      <c r="D24" s="165">
        <v>0.9438202247191011</v>
      </c>
      <c r="E24" s="165">
        <v>0.77777777777777801</v>
      </c>
      <c r="F24" s="165">
        <v>0.89383561643835607</v>
      </c>
      <c r="G24" s="165">
        <v>0.5</v>
      </c>
      <c r="H24" s="165">
        <v>0.80612244897959195</v>
      </c>
      <c r="I24" s="165">
        <v>0.625</v>
      </c>
      <c r="J24" s="166">
        <v>0.931506849315068</v>
      </c>
      <c r="K24" s="168">
        <v>0.931506849315068</v>
      </c>
      <c r="O24" s="161" t="s">
        <v>105</v>
      </c>
      <c r="P24" s="178">
        <v>0.31374999999999997</v>
      </c>
      <c r="Q24" s="172">
        <v>0.29099999999999998</v>
      </c>
    </row>
    <row r="25" spans="1:17" x14ac:dyDescent="0.2">
      <c r="A25" s="161" t="s">
        <v>185</v>
      </c>
      <c r="B25" s="162" t="s">
        <v>42</v>
      </c>
      <c r="C25" s="161" t="s">
        <v>79</v>
      </c>
      <c r="D25" s="165">
        <v>0.97499999999999998</v>
      </c>
      <c r="E25" s="165">
        <v>0.98214285714285698</v>
      </c>
      <c r="F25" s="165">
        <v>0.99186991869918695</v>
      </c>
      <c r="G25" s="165">
        <v>1</v>
      </c>
      <c r="H25" s="165">
        <v>1</v>
      </c>
      <c r="I25" s="165">
        <v>1</v>
      </c>
      <c r="J25" s="166">
        <v>0.99186991869918695</v>
      </c>
      <c r="K25" s="168">
        <v>0.99186991869918695</v>
      </c>
      <c r="O25" s="161" t="s">
        <v>86</v>
      </c>
      <c r="P25" s="178">
        <v>0.3125</v>
      </c>
      <c r="Q25" s="172">
        <v>0.3</v>
      </c>
    </row>
    <row r="26" spans="1:17" x14ac:dyDescent="0.2">
      <c r="A26" s="161" t="s">
        <v>185</v>
      </c>
      <c r="B26" s="162" t="s">
        <v>42</v>
      </c>
      <c r="C26" s="161" t="s">
        <v>119</v>
      </c>
      <c r="D26" s="165">
        <v>0.73134328358209</v>
      </c>
      <c r="E26" s="165">
        <v>0.15833333333333299</v>
      </c>
      <c r="F26" s="165">
        <v>0.21666666666666701</v>
      </c>
      <c r="G26" s="165">
        <v>0.8</v>
      </c>
      <c r="H26" s="165">
        <v>0.41666666666666702</v>
      </c>
      <c r="I26" s="165">
        <v>0.8</v>
      </c>
      <c r="J26" s="166">
        <v>0.63333333333333297</v>
      </c>
      <c r="K26" s="168">
        <v>0.63333333333333297</v>
      </c>
      <c r="O26" s="161" t="s">
        <v>139</v>
      </c>
      <c r="P26" s="178">
        <v>0.58750000000000002</v>
      </c>
      <c r="Q26" s="172">
        <v>0.71499999999999997</v>
      </c>
    </row>
    <row r="27" spans="1:17" x14ac:dyDescent="0.2">
      <c r="A27" s="161" t="s">
        <v>185</v>
      </c>
      <c r="B27" s="162" t="s">
        <v>42</v>
      </c>
      <c r="C27" s="161" t="s">
        <v>123</v>
      </c>
      <c r="D27" s="165">
        <v>0.83783783783783805</v>
      </c>
      <c r="E27" s="165">
        <v>0.26339285714285698</v>
      </c>
      <c r="F27" s="165">
        <v>0.214067278287462</v>
      </c>
      <c r="G27" s="165">
        <v>0.73076923076923095</v>
      </c>
      <c r="H27" s="165">
        <v>0.35714285714285698</v>
      </c>
      <c r="I27" s="165">
        <v>0.42307692307692302</v>
      </c>
      <c r="J27" s="166">
        <v>0.39755351681957202</v>
      </c>
      <c r="K27" s="168">
        <v>0.39755351681957202</v>
      </c>
      <c r="O27" s="161" t="s">
        <v>170</v>
      </c>
      <c r="P27" s="178">
        <v>0.1</v>
      </c>
      <c r="Q27" s="172">
        <v>0.2</v>
      </c>
    </row>
    <row r="28" spans="1:17" x14ac:dyDescent="0.2">
      <c r="A28" s="161" t="s">
        <v>185</v>
      </c>
      <c r="B28" s="162" t="s">
        <v>42</v>
      </c>
      <c r="C28" s="161" t="s">
        <v>134</v>
      </c>
      <c r="D28" s="165">
        <v>0.99397590361445798</v>
      </c>
      <c r="E28" s="165">
        <v>0.89078498293515396</v>
      </c>
      <c r="F28" s="165">
        <v>0.93398533007335005</v>
      </c>
      <c r="G28" s="165">
        <v>0.88571428571428601</v>
      </c>
      <c r="H28" s="165">
        <v>0.87713310580204806</v>
      </c>
      <c r="I28" s="165">
        <v>0.94285714285714306</v>
      </c>
      <c r="J28" s="166">
        <v>0.96088019559902194</v>
      </c>
      <c r="K28" s="168">
        <v>0.96088019559902194</v>
      </c>
      <c r="O28" s="161" t="s">
        <v>142</v>
      </c>
      <c r="P28" s="178"/>
      <c r="Q28" s="172">
        <v>0.48899999999999999</v>
      </c>
    </row>
    <row r="29" spans="1:17" x14ac:dyDescent="0.2">
      <c r="A29" s="161" t="s">
        <v>185</v>
      </c>
      <c r="B29" s="162" t="s">
        <v>42</v>
      </c>
      <c r="C29" s="161" t="s">
        <v>210</v>
      </c>
      <c r="D29" s="165">
        <v>0.73737373737373701</v>
      </c>
      <c r="E29" s="165">
        <v>0.40886699507389201</v>
      </c>
      <c r="F29" s="165">
        <v>0.4375</v>
      </c>
      <c r="G29" s="165">
        <v>0.6</v>
      </c>
      <c r="H29" s="165">
        <v>0.44334975369458102</v>
      </c>
      <c r="I29" s="165">
        <v>0.66666666666666696</v>
      </c>
      <c r="J29" s="166">
        <v>0.65865384615384603</v>
      </c>
      <c r="K29" s="168">
        <v>0.65865384615384603</v>
      </c>
      <c r="O29" s="161" t="s">
        <v>137</v>
      </c>
      <c r="P29" s="178">
        <v>0.49249999999999999</v>
      </c>
      <c r="Q29" s="172">
        <v>0.48499999999999999</v>
      </c>
    </row>
    <row r="30" spans="1:17" x14ac:dyDescent="0.2">
      <c r="A30" s="161" t="s">
        <v>185</v>
      </c>
      <c r="B30" s="162" t="s">
        <v>42</v>
      </c>
      <c r="C30" s="161" t="s">
        <v>136</v>
      </c>
      <c r="D30" s="165">
        <v>0.78787878787878796</v>
      </c>
      <c r="E30" s="165">
        <v>0.31451612903225801</v>
      </c>
      <c r="F30" s="165">
        <v>0.44051446945337602</v>
      </c>
      <c r="G30" s="165">
        <v>0.58823529411764708</v>
      </c>
      <c r="H30" s="165">
        <v>0.40725806451612895</v>
      </c>
      <c r="I30" s="165">
        <v>0.58823529411764708</v>
      </c>
      <c r="J30" s="166">
        <v>0.65594855305466193</v>
      </c>
      <c r="K30" s="168">
        <v>0.65594855305466193</v>
      </c>
      <c r="O30" s="161" t="s">
        <v>221</v>
      </c>
      <c r="P30" s="178">
        <v>0.45</v>
      </c>
      <c r="Q30" s="172"/>
    </row>
    <row r="31" spans="1:17" x14ac:dyDescent="0.2">
      <c r="A31" s="161" t="s">
        <v>185</v>
      </c>
      <c r="B31" s="162" t="s">
        <v>42</v>
      </c>
      <c r="C31" s="161" t="s">
        <v>130</v>
      </c>
      <c r="D31" s="165">
        <v>0.93589743589743601</v>
      </c>
      <c r="E31" s="165">
        <v>0.67619047619047601</v>
      </c>
      <c r="F31" s="165">
        <v>0.71428571428571397</v>
      </c>
      <c r="G31" s="165">
        <v>1</v>
      </c>
      <c r="H31" s="165">
        <v>0.67619047619047601</v>
      </c>
      <c r="I31" s="165">
        <v>0.9</v>
      </c>
      <c r="J31" s="166">
        <v>0.85714285714285698</v>
      </c>
      <c r="K31" s="168">
        <v>0.85714285714285698</v>
      </c>
      <c r="O31" s="161" t="s">
        <v>143</v>
      </c>
      <c r="P31" s="178">
        <v>0.3</v>
      </c>
      <c r="Q31" s="172">
        <v>0.35</v>
      </c>
    </row>
    <row r="32" spans="1:17" x14ac:dyDescent="0.2">
      <c r="A32" s="161" t="s">
        <v>185</v>
      </c>
      <c r="B32" s="162" t="s">
        <v>42</v>
      </c>
      <c r="C32" s="161" t="s">
        <v>90</v>
      </c>
      <c r="D32" s="165">
        <v>0.9672131147540981</v>
      </c>
      <c r="E32" s="165">
        <v>0.86440677966101698</v>
      </c>
      <c r="F32" s="165">
        <v>0.87378640776699001</v>
      </c>
      <c r="G32" s="165">
        <v>0.9</v>
      </c>
      <c r="H32" s="165">
        <v>0.86382978723404191</v>
      </c>
      <c r="I32" s="165">
        <v>0.98333333333333295</v>
      </c>
      <c r="J32" s="166">
        <v>0.91262135922330101</v>
      </c>
      <c r="K32" s="168">
        <v>0.91262135922330101</v>
      </c>
      <c r="O32" s="161" t="s">
        <v>98</v>
      </c>
      <c r="P32" s="178">
        <v>8.1250000000000003E-2</v>
      </c>
      <c r="Q32" s="172">
        <v>0.34399999999999997</v>
      </c>
    </row>
    <row r="33" spans="1:17" x14ac:dyDescent="0.2">
      <c r="A33" s="161" t="s">
        <v>185</v>
      </c>
      <c r="B33" s="162" t="s">
        <v>42</v>
      </c>
      <c r="C33" s="161" t="s">
        <v>126</v>
      </c>
      <c r="D33" s="165">
        <v>0.64088397790055296</v>
      </c>
      <c r="E33" s="165">
        <v>0.20164609053497901</v>
      </c>
      <c r="F33" s="165">
        <v>0.24274406332453802</v>
      </c>
      <c r="G33" s="165">
        <v>0.58333333333333304</v>
      </c>
      <c r="H33" s="165">
        <v>0.38429752066115697</v>
      </c>
      <c r="I33" s="165">
        <v>0.4</v>
      </c>
      <c r="J33" s="166">
        <v>0.45646437994722999</v>
      </c>
      <c r="K33" s="168">
        <v>0.45646437994722999</v>
      </c>
      <c r="O33" s="161" t="s">
        <v>126</v>
      </c>
      <c r="P33" s="178">
        <v>0.39750000000000002</v>
      </c>
      <c r="Q33" s="172">
        <v>0.40799999999999997</v>
      </c>
    </row>
    <row r="34" spans="1:17" x14ac:dyDescent="0.2">
      <c r="A34" s="161" t="s">
        <v>185</v>
      </c>
      <c r="B34" s="162" t="s">
        <v>42</v>
      </c>
      <c r="C34" s="161" t="s">
        <v>125</v>
      </c>
      <c r="D34" s="165">
        <v>0.98578199052132698</v>
      </c>
      <c r="E34" s="165">
        <v>8.83280757097792E-2</v>
      </c>
      <c r="F34" s="165">
        <v>0.25925925925925897</v>
      </c>
      <c r="G34" s="165">
        <v>0.46031746031746001</v>
      </c>
      <c r="H34" s="165">
        <v>0.20192307692307701</v>
      </c>
      <c r="I34" s="165">
        <v>0.39655172413793105</v>
      </c>
      <c r="J34" s="166">
        <v>0.55324074074074092</v>
      </c>
      <c r="K34" s="168">
        <v>0.55324074074074092</v>
      </c>
      <c r="O34" s="161" t="s">
        <v>77</v>
      </c>
      <c r="P34" s="178">
        <v>0.1</v>
      </c>
      <c r="Q34" s="172">
        <v>0.307</v>
      </c>
    </row>
    <row r="35" spans="1:17" x14ac:dyDescent="0.2">
      <c r="A35" s="161" t="s">
        <v>185</v>
      </c>
      <c r="B35" s="162" t="s">
        <v>42</v>
      </c>
      <c r="C35" s="161" t="s">
        <v>106</v>
      </c>
      <c r="D35" s="165">
        <v>0.98260869565217401</v>
      </c>
      <c r="E35" s="165">
        <v>0.69230769230769196</v>
      </c>
      <c r="F35" s="165">
        <v>0.9478827361563521</v>
      </c>
      <c r="G35" s="165">
        <v>1</v>
      </c>
      <c r="H35" s="165">
        <v>0.96153846153846201</v>
      </c>
      <c r="I35" s="165">
        <v>0.90909090909090906</v>
      </c>
      <c r="J35" s="166">
        <v>0.96091205211726405</v>
      </c>
      <c r="K35" s="168">
        <v>0.96091205211726405</v>
      </c>
      <c r="O35" s="161" t="s">
        <v>92</v>
      </c>
      <c r="P35" s="178">
        <v>0.71875</v>
      </c>
      <c r="Q35" s="172">
        <v>1.0529999999999999</v>
      </c>
    </row>
    <row r="36" spans="1:17" x14ac:dyDescent="0.2">
      <c r="A36" s="161" t="s">
        <v>185</v>
      </c>
      <c r="B36" s="162" t="s">
        <v>42</v>
      </c>
      <c r="C36" s="161" t="s">
        <v>150</v>
      </c>
      <c r="D36" s="165">
        <v>0.83146067415730296</v>
      </c>
      <c r="E36" s="165">
        <v>0.71106557377049195</v>
      </c>
      <c r="F36" s="165">
        <v>0.71111111111111103</v>
      </c>
      <c r="G36" s="165">
        <v>0.82142857142857095</v>
      </c>
      <c r="H36" s="165">
        <v>0.76591375770020509</v>
      </c>
      <c r="I36" s="165">
        <v>0.8</v>
      </c>
      <c r="J36" s="166">
        <v>0.7761904761904761</v>
      </c>
      <c r="K36" s="168">
        <v>0.7761904761904761</v>
      </c>
      <c r="O36" s="161" t="s">
        <v>78</v>
      </c>
      <c r="P36" s="178">
        <v>0.25</v>
      </c>
      <c r="Q36" s="172">
        <v>0.35599999999999998</v>
      </c>
    </row>
    <row r="37" spans="1:17" x14ac:dyDescent="0.2">
      <c r="A37" s="161" t="s">
        <v>185</v>
      </c>
      <c r="B37" s="162" t="s">
        <v>42</v>
      </c>
      <c r="C37" s="161" t="s">
        <v>96</v>
      </c>
      <c r="D37" s="165">
        <v>0.93920972644376899</v>
      </c>
      <c r="E37" s="165">
        <v>0.22869022869022898</v>
      </c>
      <c r="F37" s="165">
        <v>0.19572368421052602</v>
      </c>
      <c r="G37" s="165">
        <v>0.52542372881355903</v>
      </c>
      <c r="H37" s="165">
        <v>0.20335429769391999</v>
      </c>
      <c r="I37" s="165">
        <v>0.47457627118644097</v>
      </c>
      <c r="J37" s="166">
        <v>0.57894736842105299</v>
      </c>
      <c r="K37" s="168">
        <v>0.57894736842105299</v>
      </c>
      <c r="O37" s="161" t="s">
        <v>171</v>
      </c>
      <c r="P37" s="178">
        <v>0.13750000000000001</v>
      </c>
      <c r="Q37" s="172">
        <v>0.17</v>
      </c>
    </row>
    <row r="38" spans="1:17" x14ac:dyDescent="0.2">
      <c r="A38" s="161" t="s">
        <v>185</v>
      </c>
      <c r="B38" s="162" t="s">
        <v>42</v>
      </c>
      <c r="C38" s="161" t="s">
        <v>143</v>
      </c>
      <c r="D38" s="165">
        <v>0.94897959183673508</v>
      </c>
      <c r="E38" s="165">
        <v>0.13698630136986301</v>
      </c>
      <c r="F38" s="165">
        <v>9.9678456591639902E-2</v>
      </c>
      <c r="G38" s="165">
        <v>0.35294117647058798</v>
      </c>
      <c r="H38" s="165">
        <v>0.17241379310344801</v>
      </c>
      <c r="I38" s="165">
        <v>0.35294117647058798</v>
      </c>
      <c r="J38" s="166">
        <v>0.71061093247588403</v>
      </c>
      <c r="K38" s="168">
        <v>0.71061093247588403</v>
      </c>
      <c r="O38" s="161" t="s">
        <v>120</v>
      </c>
      <c r="P38" s="178">
        <v>0.22750000000000001</v>
      </c>
      <c r="Q38" s="172">
        <v>0.29499999999999998</v>
      </c>
    </row>
    <row r="39" spans="1:17" x14ac:dyDescent="0.2">
      <c r="A39" s="161" t="s">
        <v>185</v>
      </c>
      <c r="B39" s="162" t="s">
        <v>42</v>
      </c>
      <c r="C39" s="161" t="s">
        <v>170</v>
      </c>
      <c r="D39" s="165">
        <v>0.97619047619047605</v>
      </c>
      <c r="E39" s="165">
        <v>0.19607843137254899</v>
      </c>
      <c r="F39" s="165">
        <v>0.37096774193548399</v>
      </c>
      <c r="G39" s="165">
        <v>0.33333333333333298</v>
      </c>
      <c r="H39" s="165">
        <v>0.56000000000000005</v>
      </c>
      <c r="I39" s="165">
        <v>0.33333333333333298</v>
      </c>
      <c r="J39" s="166">
        <v>0.62096774193548399</v>
      </c>
      <c r="K39" s="168">
        <v>0.62096774193548399</v>
      </c>
      <c r="O39" s="161" t="s">
        <v>97</v>
      </c>
      <c r="P39" s="178">
        <v>0.35875000000000001</v>
      </c>
      <c r="Q39" s="172">
        <v>0.32200000000000001</v>
      </c>
    </row>
    <row r="40" spans="1:17" x14ac:dyDescent="0.2">
      <c r="A40" s="161" t="s">
        <v>185</v>
      </c>
      <c r="B40" s="162" t="s">
        <v>42</v>
      </c>
      <c r="C40" s="161" t="s">
        <v>91</v>
      </c>
      <c r="D40" s="165">
        <v>0.94957983193277296</v>
      </c>
      <c r="E40" s="165">
        <v>0.107142857142857</v>
      </c>
      <c r="F40" s="165">
        <v>0.11320754716981099</v>
      </c>
      <c r="G40" s="165">
        <v>0.319148936170213</v>
      </c>
      <c r="H40" s="165">
        <v>0.14732142857142899</v>
      </c>
      <c r="I40" s="165">
        <v>0.25531914893616997</v>
      </c>
      <c r="J40" s="166">
        <v>0.46037735849056605</v>
      </c>
      <c r="K40" s="168">
        <v>0.46037735849056605</v>
      </c>
      <c r="O40" s="161" t="s">
        <v>117</v>
      </c>
      <c r="P40" s="178">
        <v>0.19750000000000001</v>
      </c>
      <c r="Q40" s="172">
        <v>0.23599999999999999</v>
      </c>
    </row>
    <row r="41" spans="1:17" x14ac:dyDescent="0.2">
      <c r="A41" s="161" t="s">
        <v>185</v>
      </c>
      <c r="B41" s="162" t="s">
        <v>42</v>
      </c>
      <c r="C41" s="161" t="s">
        <v>186</v>
      </c>
      <c r="D41" s="165">
        <v>1</v>
      </c>
      <c r="E41" s="165">
        <v>0.57142857142857106</v>
      </c>
      <c r="F41" s="165">
        <v>0.7</v>
      </c>
      <c r="G41" s="165">
        <v>1</v>
      </c>
      <c r="H41" s="165">
        <v>0.57142857142857106</v>
      </c>
      <c r="I41" s="165">
        <v>1</v>
      </c>
      <c r="J41" s="166">
        <v>0.7</v>
      </c>
      <c r="K41" s="168">
        <v>0.7</v>
      </c>
      <c r="O41" s="161" t="s">
        <v>111</v>
      </c>
      <c r="P41" s="178">
        <v>0.27</v>
      </c>
      <c r="Q41" s="172">
        <v>0.251</v>
      </c>
    </row>
    <row r="42" spans="1:17" x14ac:dyDescent="0.2">
      <c r="A42" s="161" t="s">
        <v>185</v>
      </c>
      <c r="B42" s="162" t="s">
        <v>42</v>
      </c>
      <c r="C42" s="161" t="s">
        <v>218</v>
      </c>
      <c r="D42" s="165">
        <v>0.97512437810945296</v>
      </c>
      <c r="E42" s="165">
        <v>0.9289940828402371</v>
      </c>
      <c r="F42" s="165">
        <v>0.91921397379912706</v>
      </c>
      <c r="G42" s="165">
        <v>0.984375</v>
      </c>
      <c r="H42" s="165">
        <v>0.93195266272189303</v>
      </c>
      <c r="I42" s="165">
        <v>0.9765625</v>
      </c>
      <c r="J42" s="166">
        <v>0.92358078602620097</v>
      </c>
      <c r="K42" s="168">
        <v>0.92358078602620097</v>
      </c>
      <c r="O42" s="161" t="s">
        <v>160</v>
      </c>
      <c r="P42" s="178">
        <v>0.43375000000000002</v>
      </c>
      <c r="Q42" s="172">
        <v>0.76600000000000001</v>
      </c>
    </row>
    <row r="43" spans="1:17" x14ac:dyDescent="0.2">
      <c r="A43" s="161" t="s">
        <v>185</v>
      </c>
      <c r="B43" s="162" t="s">
        <v>42</v>
      </c>
      <c r="C43" s="161" t="s">
        <v>124</v>
      </c>
      <c r="D43" s="165">
        <v>0.29310344827586199</v>
      </c>
      <c r="E43" s="165">
        <v>0.10243902439024399</v>
      </c>
      <c r="F43" s="165">
        <v>0.14657980456026101</v>
      </c>
      <c r="G43" s="165">
        <v>0.75</v>
      </c>
      <c r="H43" s="165">
        <v>0.25980392156862697</v>
      </c>
      <c r="I43" s="165">
        <v>0.45</v>
      </c>
      <c r="J43" s="166">
        <v>0.25407166123778496</v>
      </c>
      <c r="K43" s="168">
        <v>0.25407166123778496</v>
      </c>
      <c r="O43" s="161" t="s">
        <v>128</v>
      </c>
      <c r="P43" s="178">
        <v>0.51375000000000004</v>
      </c>
      <c r="Q43" s="172">
        <v>0.67700000000000005</v>
      </c>
    </row>
    <row r="44" spans="1:17" x14ac:dyDescent="0.2">
      <c r="A44" s="161" t="s">
        <v>185</v>
      </c>
      <c r="B44" s="162" t="s">
        <v>42</v>
      </c>
      <c r="C44" s="161" t="s">
        <v>110</v>
      </c>
      <c r="D44" s="165">
        <v>1</v>
      </c>
      <c r="E44" s="165">
        <v>0</v>
      </c>
      <c r="F44" s="165">
        <v>1</v>
      </c>
      <c r="G44" s="159"/>
      <c r="H44" s="159"/>
      <c r="I44" s="159"/>
      <c r="J44" s="166">
        <v>1</v>
      </c>
      <c r="K44" s="168">
        <v>1</v>
      </c>
      <c r="O44" s="161" t="s">
        <v>144</v>
      </c>
      <c r="P44" s="178">
        <v>0.125</v>
      </c>
      <c r="Q44" s="172">
        <v>0.21</v>
      </c>
    </row>
    <row r="45" spans="1:17" x14ac:dyDescent="0.2">
      <c r="A45" s="161" t="s">
        <v>185</v>
      </c>
      <c r="B45" s="162" t="s">
        <v>42</v>
      </c>
      <c r="C45" s="161" t="s">
        <v>219</v>
      </c>
      <c r="D45" s="165">
        <v>0.94308943089430897</v>
      </c>
      <c r="E45" s="165">
        <v>9.7087378640776698E-2</v>
      </c>
      <c r="F45" s="165">
        <v>0.11636363636363599</v>
      </c>
      <c r="G45" s="165">
        <v>0.38461538461538503</v>
      </c>
      <c r="H45" s="165">
        <v>0.20388349514563101</v>
      </c>
      <c r="I45" s="165">
        <v>0.230769230769231</v>
      </c>
      <c r="J45" s="166">
        <v>0.48727272727272697</v>
      </c>
      <c r="K45" s="168">
        <v>0.48727272727272697</v>
      </c>
      <c r="O45" s="161" t="s">
        <v>85</v>
      </c>
      <c r="P45" s="178">
        <v>0.91249999999999998</v>
      </c>
      <c r="Q45" s="172">
        <v>0.502</v>
      </c>
    </row>
    <row r="46" spans="1:17" x14ac:dyDescent="0.2">
      <c r="A46" s="161" t="s">
        <v>185</v>
      </c>
      <c r="B46" s="162" t="s">
        <v>42</v>
      </c>
      <c r="C46" s="161" t="s">
        <v>111</v>
      </c>
      <c r="D46" s="165">
        <v>0.81599999999999995</v>
      </c>
      <c r="E46" s="165">
        <v>0.27536231884057999</v>
      </c>
      <c r="F46" s="165">
        <v>0.28571428571428603</v>
      </c>
      <c r="G46" s="165">
        <v>0.63157894736842102</v>
      </c>
      <c r="H46" s="165">
        <v>0.35401459854014594</v>
      </c>
      <c r="I46" s="165">
        <v>0.52631578947368407</v>
      </c>
      <c r="J46" s="166">
        <v>0.48024316109422499</v>
      </c>
      <c r="K46" s="168">
        <v>0.48024316109422499</v>
      </c>
      <c r="O46" s="161" t="s">
        <v>79</v>
      </c>
      <c r="P46" s="178">
        <v>0.17874999999999999</v>
      </c>
      <c r="Q46" s="172">
        <v>0.28100000000000003</v>
      </c>
    </row>
    <row r="47" spans="1:17" x14ac:dyDescent="0.2">
      <c r="A47" s="161" t="s">
        <v>185</v>
      </c>
      <c r="B47" s="162" t="s">
        <v>42</v>
      </c>
      <c r="C47" s="161" t="s">
        <v>97</v>
      </c>
      <c r="D47" s="165">
        <v>0.86754966887417195</v>
      </c>
      <c r="E47" s="165">
        <v>0.25757575757575801</v>
      </c>
      <c r="F47" s="165">
        <v>0.30026809651474501</v>
      </c>
      <c r="G47" s="165">
        <v>0.66666666666666696</v>
      </c>
      <c r="H47" s="165">
        <v>0.28735632183908</v>
      </c>
      <c r="I47" s="165">
        <v>0.66666666666666696</v>
      </c>
      <c r="J47" s="166">
        <v>0.52815013404825695</v>
      </c>
      <c r="K47" s="168">
        <v>0.52815013404825695</v>
      </c>
      <c r="O47" s="161" t="s">
        <v>80</v>
      </c>
      <c r="P47" s="178">
        <v>0.215</v>
      </c>
      <c r="Q47" s="172">
        <v>0.47599999999999998</v>
      </c>
    </row>
    <row r="48" spans="1:17" x14ac:dyDescent="0.2">
      <c r="A48" s="161" t="s">
        <v>185</v>
      </c>
      <c r="B48" s="162" t="s">
        <v>42</v>
      </c>
      <c r="C48" s="161" t="s">
        <v>99</v>
      </c>
      <c r="D48" s="165">
        <v>0.92021276595744694</v>
      </c>
      <c r="E48" s="165">
        <v>0.13880126182965299</v>
      </c>
      <c r="F48" s="165">
        <v>0.212471131639723</v>
      </c>
      <c r="G48" s="165">
        <v>0.27586206896551702</v>
      </c>
      <c r="H48" s="165">
        <v>0.189873417721519</v>
      </c>
      <c r="I48" s="165">
        <v>0.19298245614035101</v>
      </c>
      <c r="J48" s="166">
        <v>0.542725173210162</v>
      </c>
      <c r="K48" s="168">
        <v>0.542725173210162</v>
      </c>
      <c r="O48" s="161" t="s">
        <v>81</v>
      </c>
      <c r="P48" s="178">
        <v>0.14874999999999999</v>
      </c>
      <c r="Q48" s="172">
        <v>0.20100000000000001</v>
      </c>
    </row>
    <row r="49" spans="1:17" x14ac:dyDescent="0.2">
      <c r="A49" s="161" t="s">
        <v>185</v>
      </c>
      <c r="B49" s="162" t="s">
        <v>42</v>
      </c>
      <c r="C49" s="161" t="s">
        <v>117</v>
      </c>
      <c r="D49" s="165">
        <v>0.66867469879518093</v>
      </c>
      <c r="E49" s="165">
        <v>0.114285714285714</v>
      </c>
      <c r="F49" s="165">
        <v>0.207236842105263</v>
      </c>
      <c r="G49" s="165">
        <v>0.43589743589743596</v>
      </c>
      <c r="H49" s="165">
        <v>0.3</v>
      </c>
      <c r="I49" s="165">
        <v>0.23684210526315799</v>
      </c>
      <c r="J49" s="166">
        <v>0.480263157894737</v>
      </c>
      <c r="K49" s="168">
        <v>0.480263157894737</v>
      </c>
      <c r="O49" s="161" t="s">
        <v>101</v>
      </c>
      <c r="P49" s="178">
        <v>0.27750000000000002</v>
      </c>
      <c r="Q49" s="172">
        <v>0.3</v>
      </c>
    </row>
    <row r="50" spans="1:17" x14ac:dyDescent="0.2">
      <c r="A50" s="161" t="s">
        <v>185</v>
      </c>
      <c r="B50" s="162" t="s">
        <v>42</v>
      </c>
      <c r="C50" s="161" t="s">
        <v>211</v>
      </c>
      <c r="D50" s="165">
        <v>0.92857142857142905</v>
      </c>
      <c r="E50" s="165">
        <v>0.33548387096774201</v>
      </c>
      <c r="F50" s="165">
        <v>0.46071428571428596</v>
      </c>
      <c r="G50" s="165">
        <v>0.6</v>
      </c>
      <c r="H50" s="165">
        <v>0.53548387096774197</v>
      </c>
      <c r="I50" s="165">
        <v>0.66666666666666696</v>
      </c>
      <c r="J50" s="166">
        <v>0.63214285714285701</v>
      </c>
      <c r="K50" s="168">
        <v>0.63214285714285701</v>
      </c>
      <c r="O50" s="161" t="s">
        <v>121</v>
      </c>
      <c r="P50" s="178">
        <v>0.28249999999999997</v>
      </c>
      <c r="Q50" s="172">
        <v>0.26300000000000001</v>
      </c>
    </row>
    <row r="51" spans="1:17" x14ac:dyDescent="0.2">
      <c r="A51" s="161" t="s">
        <v>185</v>
      </c>
      <c r="B51" s="162" t="s">
        <v>42</v>
      </c>
      <c r="C51" s="161" t="s">
        <v>100</v>
      </c>
      <c r="D51" s="165">
        <v>0.63157894736842102</v>
      </c>
      <c r="E51" s="165">
        <v>0.20689655172413801</v>
      </c>
      <c r="F51" s="165">
        <v>0.19587628865979401</v>
      </c>
      <c r="G51" s="165">
        <v>0.51219512195121997</v>
      </c>
      <c r="H51" s="165">
        <v>0.33043478260869596</v>
      </c>
      <c r="I51" s="165">
        <v>0.292682926829268</v>
      </c>
      <c r="J51" s="166">
        <v>0.48969072164948502</v>
      </c>
      <c r="K51" s="168">
        <v>0.48969072164948502</v>
      </c>
      <c r="O51" s="161" t="s">
        <v>122</v>
      </c>
      <c r="P51" s="178">
        <v>0.43375000000000002</v>
      </c>
      <c r="Q51" s="172">
        <v>0.23599999999999999</v>
      </c>
    </row>
    <row r="52" spans="1:17" x14ac:dyDescent="0.2">
      <c r="A52" s="161" t="s">
        <v>185</v>
      </c>
      <c r="B52" s="162" t="s">
        <v>42</v>
      </c>
      <c r="C52" s="161" t="s">
        <v>101</v>
      </c>
      <c r="D52" s="165">
        <v>0.59510869565217395</v>
      </c>
      <c r="E52" s="165">
        <v>3.6960985626283402E-2</v>
      </c>
      <c r="F52" s="165">
        <v>6.9986541049798096E-2</v>
      </c>
      <c r="G52" s="165">
        <v>0.3</v>
      </c>
      <c r="H52" s="165">
        <v>0.115303983228512</v>
      </c>
      <c r="I52" s="165">
        <v>0.102564102564103</v>
      </c>
      <c r="J52" s="166">
        <v>0.348586810228802</v>
      </c>
      <c r="K52" s="168">
        <v>0.348586810228802</v>
      </c>
      <c r="O52" s="161" t="s">
        <v>151</v>
      </c>
      <c r="P52" s="178">
        <v>0.12625</v>
      </c>
      <c r="Q52" s="172">
        <v>0.11</v>
      </c>
    </row>
    <row r="53" spans="1:17" x14ac:dyDescent="0.2">
      <c r="A53" s="161" t="s">
        <v>185</v>
      </c>
      <c r="B53" s="162" t="s">
        <v>42</v>
      </c>
      <c r="C53" s="161" t="s">
        <v>195</v>
      </c>
      <c r="D53" s="159"/>
      <c r="E53" s="165">
        <v>1</v>
      </c>
      <c r="F53" s="165">
        <v>0.47368421052631599</v>
      </c>
      <c r="G53" s="159"/>
      <c r="H53" s="165">
        <v>1</v>
      </c>
      <c r="I53" s="159"/>
      <c r="J53" s="166">
        <v>0.47368421052631599</v>
      </c>
      <c r="K53" s="168">
        <v>0.47368421052631599</v>
      </c>
      <c r="O53" s="161" t="s">
        <v>172</v>
      </c>
      <c r="P53" s="178">
        <v>0.15125</v>
      </c>
      <c r="Q53" s="172">
        <v>0.19600000000000001</v>
      </c>
    </row>
    <row r="54" spans="1:17" x14ac:dyDescent="0.2">
      <c r="A54" s="161" t="s">
        <v>185</v>
      </c>
      <c r="B54" s="162" t="s">
        <v>42</v>
      </c>
      <c r="C54" s="161" t="s">
        <v>165</v>
      </c>
      <c r="D54" s="165">
        <v>0.80952380952380909</v>
      </c>
      <c r="E54" s="165">
        <v>8.7719298245614002E-2</v>
      </c>
      <c r="F54" s="165">
        <v>0.127906976744186</v>
      </c>
      <c r="G54" s="165">
        <v>1</v>
      </c>
      <c r="H54" s="165">
        <v>0.175438596491228</v>
      </c>
      <c r="I54" s="165">
        <v>0</v>
      </c>
      <c r="J54" s="166">
        <v>0.45348837209302301</v>
      </c>
      <c r="K54" s="168">
        <v>0.45348837209302301</v>
      </c>
      <c r="O54" s="161" t="s">
        <v>88</v>
      </c>
      <c r="P54" s="178">
        <v>0.45750000000000002</v>
      </c>
      <c r="Q54" s="172">
        <v>0.35599999999999998</v>
      </c>
    </row>
    <row r="55" spans="1:17" x14ac:dyDescent="0.2">
      <c r="A55" s="161" t="s">
        <v>185</v>
      </c>
      <c r="B55" s="162" t="s">
        <v>42</v>
      </c>
      <c r="C55" s="161" t="s">
        <v>120</v>
      </c>
      <c r="D55" s="165">
        <v>0.82113821138211407</v>
      </c>
      <c r="E55" s="165">
        <v>0.11111111111111099</v>
      </c>
      <c r="F55" s="165">
        <v>0.19762845849802399</v>
      </c>
      <c r="G55" s="165">
        <v>0.78571428571428603</v>
      </c>
      <c r="H55" s="165">
        <v>0.21825396825396801</v>
      </c>
      <c r="I55" s="165">
        <v>0.28571428571428603</v>
      </c>
      <c r="J55" s="166">
        <v>0.47430830039525701</v>
      </c>
      <c r="K55" s="168">
        <v>0.47430830039525701</v>
      </c>
      <c r="O55" s="161" t="s">
        <v>102</v>
      </c>
      <c r="P55" s="178">
        <v>5.2499999999999998E-2</v>
      </c>
      <c r="Q55" s="172">
        <v>0.18</v>
      </c>
    </row>
    <row r="56" spans="1:17" x14ac:dyDescent="0.2">
      <c r="A56" s="161" t="s">
        <v>185</v>
      </c>
      <c r="B56" s="162" t="s">
        <v>42</v>
      </c>
      <c r="C56" s="161" t="s">
        <v>151</v>
      </c>
      <c r="D56" s="165">
        <v>1</v>
      </c>
      <c r="E56" s="165">
        <v>0.98913043478260898</v>
      </c>
      <c r="F56" s="165">
        <v>0.98675496688741704</v>
      </c>
      <c r="G56" s="165">
        <v>1</v>
      </c>
      <c r="H56" s="165">
        <v>1</v>
      </c>
      <c r="I56" s="165">
        <v>1</v>
      </c>
      <c r="J56" s="166">
        <v>1</v>
      </c>
      <c r="K56" s="168">
        <v>1</v>
      </c>
      <c r="O56" s="161" t="s">
        <v>108</v>
      </c>
      <c r="P56" s="178">
        <v>0.20624999999999999</v>
      </c>
      <c r="Q56" s="172">
        <v>0.33100000000000002</v>
      </c>
    </row>
    <row r="57" spans="1:17" x14ac:dyDescent="0.2">
      <c r="A57" s="161" t="s">
        <v>185</v>
      </c>
      <c r="B57" s="162" t="s">
        <v>42</v>
      </c>
      <c r="C57" s="161" t="s">
        <v>153</v>
      </c>
      <c r="D57" s="165">
        <v>1</v>
      </c>
      <c r="E57" s="165">
        <v>0.94776119402985104</v>
      </c>
      <c r="F57" s="165">
        <v>1</v>
      </c>
      <c r="G57" s="165">
        <v>1</v>
      </c>
      <c r="H57" s="165">
        <v>1</v>
      </c>
      <c r="I57" s="165">
        <v>1</v>
      </c>
      <c r="J57" s="166">
        <v>1</v>
      </c>
      <c r="K57" s="168">
        <v>1</v>
      </c>
      <c r="O57" s="161" t="s">
        <v>145</v>
      </c>
      <c r="P57" s="178">
        <v>0.125</v>
      </c>
      <c r="Q57" s="172">
        <v>8.1000000000000003E-2</v>
      </c>
    </row>
    <row r="58" spans="1:17" x14ac:dyDescent="0.2">
      <c r="A58" s="161" t="s">
        <v>185</v>
      </c>
      <c r="B58" s="162" t="s">
        <v>42</v>
      </c>
      <c r="C58" s="161" t="s">
        <v>159</v>
      </c>
      <c r="D58" s="165">
        <v>1</v>
      </c>
      <c r="E58" s="165">
        <v>0.68639053254437898</v>
      </c>
      <c r="F58" s="165">
        <v>0.63218390804597702</v>
      </c>
      <c r="G58" s="165">
        <v>0.7931034482758621</v>
      </c>
      <c r="H58" s="165">
        <v>0.79289940828402394</v>
      </c>
      <c r="I58" s="165">
        <v>0.62068965517241403</v>
      </c>
      <c r="J58" s="166">
        <v>0.79022988505747094</v>
      </c>
      <c r="K58" s="168">
        <v>0.79022988505747094</v>
      </c>
      <c r="O58" s="161" t="s">
        <v>134</v>
      </c>
      <c r="P58" s="178">
        <v>0.66</v>
      </c>
      <c r="Q58" s="172">
        <v>0.75700000000000001</v>
      </c>
    </row>
    <row r="59" spans="1:17" x14ac:dyDescent="0.2">
      <c r="A59" s="161" t="s">
        <v>185</v>
      </c>
      <c r="B59" s="162" t="s">
        <v>42</v>
      </c>
      <c r="C59" s="161" t="s">
        <v>187</v>
      </c>
      <c r="D59" s="165">
        <v>0.95041322314049592</v>
      </c>
      <c r="E59" s="165">
        <v>0.96923076923076901</v>
      </c>
      <c r="F59" s="165">
        <v>0.95867768595041303</v>
      </c>
      <c r="G59" s="165">
        <v>0.97916666666666696</v>
      </c>
      <c r="H59" s="165">
        <v>0.984615384615385</v>
      </c>
      <c r="I59" s="165">
        <v>0.97916666666666696</v>
      </c>
      <c r="J59" s="166">
        <v>0.96694214876033102</v>
      </c>
      <c r="K59" s="168">
        <v>0.96694214876033102</v>
      </c>
      <c r="O59" s="161" t="s">
        <v>140</v>
      </c>
      <c r="P59" s="178">
        <v>0.72875000000000001</v>
      </c>
      <c r="Q59" s="172">
        <v>0.58299999999999996</v>
      </c>
    </row>
    <row r="60" spans="1:17" x14ac:dyDescent="0.2">
      <c r="A60" s="161" t="s">
        <v>185</v>
      </c>
      <c r="B60" s="162" t="s">
        <v>42</v>
      </c>
      <c r="C60" s="161" t="s">
        <v>220</v>
      </c>
      <c r="D60" s="165">
        <v>0.77894736842105305</v>
      </c>
      <c r="E60" s="165">
        <v>0.60784313725490202</v>
      </c>
      <c r="F60" s="165">
        <v>0.68941979522184293</v>
      </c>
      <c r="G60" s="165">
        <v>0.33333333333333298</v>
      </c>
      <c r="H60" s="165">
        <v>0.63</v>
      </c>
      <c r="I60" s="165">
        <v>0.33333333333333298</v>
      </c>
      <c r="J60" s="166">
        <v>0.77133105802047797</v>
      </c>
      <c r="K60" s="168">
        <v>0.77133105802047797</v>
      </c>
      <c r="O60" s="161" t="s">
        <v>106</v>
      </c>
      <c r="P60" s="178">
        <v>0.24249999999999999</v>
      </c>
      <c r="Q60" s="172">
        <v>0.22600000000000001</v>
      </c>
    </row>
    <row r="61" spans="1:17" x14ac:dyDescent="0.2">
      <c r="A61" s="161" t="s">
        <v>185</v>
      </c>
      <c r="B61" s="162" t="s">
        <v>42</v>
      </c>
      <c r="C61" s="161" t="s">
        <v>172</v>
      </c>
      <c r="D61" s="165">
        <v>1</v>
      </c>
      <c r="E61" s="165">
        <v>1</v>
      </c>
      <c r="F61" s="165">
        <v>1</v>
      </c>
      <c r="G61" s="159"/>
      <c r="H61" s="165">
        <v>1</v>
      </c>
      <c r="I61" s="159"/>
      <c r="J61" s="166">
        <v>1</v>
      </c>
      <c r="K61" s="168">
        <v>1</v>
      </c>
      <c r="O61" s="161" t="s">
        <v>158</v>
      </c>
      <c r="P61" s="178">
        <v>0.35</v>
      </c>
      <c r="Q61" s="172">
        <v>0.27400000000000002</v>
      </c>
    </row>
    <row r="62" spans="1:17" x14ac:dyDescent="0.2">
      <c r="A62" s="161" t="s">
        <v>185</v>
      </c>
      <c r="B62" s="162" t="s">
        <v>42</v>
      </c>
      <c r="C62" s="161" t="s">
        <v>114</v>
      </c>
      <c r="D62" s="165">
        <v>0.67889908256880704</v>
      </c>
      <c r="E62" s="165">
        <v>0.37967914438502703</v>
      </c>
      <c r="F62" s="165">
        <v>0.473282442748092</v>
      </c>
      <c r="G62" s="165">
        <v>0.66666666666666696</v>
      </c>
      <c r="H62" s="165">
        <v>0.41489361702127703</v>
      </c>
      <c r="I62" s="165">
        <v>0.8</v>
      </c>
      <c r="J62" s="166">
        <v>0.65648854961832104</v>
      </c>
      <c r="K62" s="168">
        <v>0.65648854961832104</v>
      </c>
      <c r="O62" s="161" t="s">
        <v>149</v>
      </c>
      <c r="P62" s="178">
        <v>0.28749999999999998</v>
      </c>
      <c r="Q62" s="172">
        <v>0.42399999999999999</v>
      </c>
    </row>
    <row r="63" spans="1:17" x14ac:dyDescent="0.2">
      <c r="A63" s="161" t="s">
        <v>185</v>
      </c>
      <c r="B63" s="162" t="s">
        <v>42</v>
      </c>
      <c r="C63" s="161" t="s">
        <v>135</v>
      </c>
      <c r="D63" s="165">
        <v>0.987341772151899</v>
      </c>
      <c r="E63" s="165">
        <v>0.25190839694656497</v>
      </c>
      <c r="F63" s="165">
        <v>0.33268858800773699</v>
      </c>
      <c r="G63" s="165">
        <v>0.48148148148148101</v>
      </c>
      <c r="H63" s="165">
        <v>0.36386768447837098</v>
      </c>
      <c r="I63" s="165">
        <v>0.33750000000000002</v>
      </c>
      <c r="J63" s="166">
        <v>0.66150870406189599</v>
      </c>
      <c r="K63" s="168">
        <v>0.66150870406189599</v>
      </c>
      <c r="O63" s="161" t="s">
        <v>136</v>
      </c>
      <c r="P63" s="178">
        <v>0.32500000000000001</v>
      </c>
      <c r="Q63" s="172">
        <v>0.495</v>
      </c>
    </row>
    <row r="64" spans="1:17" x14ac:dyDescent="0.2">
      <c r="A64" s="161" t="s">
        <v>185</v>
      </c>
      <c r="B64" s="162" t="s">
        <v>42</v>
      </c>
      <c r="C64" s="161" t="s">
        <v>191</v>
      </c>
      <c r="D64" s="165">
        <v>0.93975903614457801</v>
      </c>
      <c r="E64" s="165">
        <v>0.69784172661870503</v>
      </c>
      <c r="F64" s="165">
        <v>0.66844919786096302</v>
      </c>
      <c r="G64" s="165">
        <v>0.69230769230769196</v>
      </c>
      <c r="H64" s="165">
        <v>0.65467625899280601</v>
      </c>
      <c r="I64" s="165">
        <v>0.76923076923076905</v>
      </c>
      <c r="J64" s="166">
        <v>0.86096256684492001</v>
      </c>
      <c r="K64" s="168">
        <v>0.86096256684492001</v>
      </c>
      <c r="O64" s="161" t="s">
        <v>152</v>
      </c>
      <c r="P64" s="178">
        <v>0.42499999999999999</v>
      </c>
      <c r="Q64" s="172">
        <v>0.30399999999999999</v>
      </c>
    </row>
    <row r="65" spans="1:17" x14ac:dyDescent="0.2">
      <c r="A65" s="161" t="s">
        <v>185</v>
      </c>
      <c r="B65" s="162" t="s">
        <v>42</v>
      </c>
      <c r="C65" s="161" t="s">
        <v>127</v>
      </c>
      <c r="D65" s="165">
        <v>0.96428571428571397</v>
      </c>
      <c r="E65" s="165">
        <v>0.58371040723981904</v>
      </c>
      <c r="F65" s="165">
        <v>0.49546827794561898</v>
      </c>
      <c r="G65" s="165">
        <v>0.75</v>
      </c>
      <c r="H65" s="165">
        <v>0.62895927601809998</v>
      </c>
      <c r="I65" s="165">
        <v>0.5</v>
      </c>
      <c r="J65" s="166">
        <v>0.69184290030211504</v>
      </c>
      <c r="K65" s="168">
        <v>0.69184290030211504</v>
      </c>
      <c r="O65" s="161" t="s">
        <v>95</v>
      </c>
      <c r="P65" s="178">
        <v>0.33750000000000002</v>
      </c>
      <c r="Q65" s="172">
        <v>0.73599999999999999</v>
      </c>
    </row>
    <row r="66" spans="1:17" x14ac:dyDescent="0.2">
      <c r="A66" s="161" t="s">
        <v>185</v>
      </c>
      <c r="B66" s="162" t="s">
        <v>42</v>
      </c>
      <c r="C66" s="161" t="s">
        <v>98</v>
      </c>
      <c r="D66" s="165">
        <v>0.81159420289855111</v>
      </c>
      <c r="E66" s="165">
        <v>0.34166666666666701</v>
      </c>
      <c r="F66" s="165">
        <v>0.30727762803234504</v>
      </c>
      <c r="G66" s="165">
        <v>0.76470588235294101</v>
      </c>
      <c r="H66" s="165">
        <v>0.37916666666666698</v>
      </c>
      <c r="I66" s="165">
        <v>0.58823529411764708</v>
      </c>
      <c r="J66" s="166">
        <v>0.57681940700808598</v>
      </c>
      <c r="K66" s="168">
        <v>0.57681940700808598</v>
      </c>
      <c r="O66" s="161" t="s">
        <v>112</v>
      </c>
      <c r="P66" s="178">
        <v>0.22625000000000001</v>
      </c>
      <c r="Q66" s="172">
        <v>0.21099999999999999</v>
      </c>
    </row>
    <row r="67" spans="1:17" x14ac:dyDescent="0.2">
      <c r="A67" s="161" t="s">
        <v>185</v>
      </c>
      <c r="B67" s="162" t="s">
        <v>42</v>
      </c>
      <c r="C67" s="161" t="s">
        <v>206</v>
      </c>
      <c r="D67" s="165">
        <v>1</v>
      </c>
      <c r="E67" s="165">
        <v>0.85148514851485102</v>
      </c>
      <c r="F67" s="165">
        <v>0.97333333333333305</v>
      </c>
      <c r="G67" s="165">
        <v>0.93333333333333302</v>
      </c>
      <c r="H67" s="165">
        <v>0.81188118811881194</v>
      </c>
      <c r="I67" s="165">
        <v>1</v>
      </c>
      <c r="J67" s="166">
        <v>0.97666666666666702</v>
      </c>
      <c r="K67" s="168">
        <v>0.97666666666666702</v>
      </c>
      <c r="O67" s="161" t="s">
        <v>161</v>
      </c>
      <c r="P67" s="178">
        <v>0.17499999999999999</v>
      </c>
      <c r="Q67" s="172">
        <v>0.36</v>
      </c>
    </row>
    <row r="68" spans="1:17" x14ac:dyDescent="0.2">
      <c r="A68" s="161" t="s">
        <v>185</v>
      </c>
      <c r="B68" s="162" t="s">
        <v>42</v>
      </c>
      <c r="C68" s="161" t="s">
        <v>146</v>
      </c>
      <c r="D68" s="165">
        <v>1</v>
      </c>
      <c r="E68" s="165">
        <v>0.88931297709923696</v>
      </c>
      <c r="F68" s="165">
        <v>0.83499999999999996</v>
      </c>
      <c r="G68" s="165">
        <v>0.94444444444444398</v>
      </c>
      <c r="H68" s="165">
        <v>0.87022900763358801</v>
      </c>
      <c r="I68" s="165">
        <v>0.97222222222222199</v>
      </c>
      <c r="J68" s="166">
        <v>0.88249999999999995</v>
      </c>
      <c r="K68" s="168">
        <v>0.88249999999999995</v>
      </c>
      <c r="O68" s="161" t="s">
        <v>113</v>
      </c>
      <c r="P68" s="178">
        <v>0.125</v>
      </c>
      <c r="Q68" s="172">
        <v>0.17399999999999999</v>
      </c>
    </row>
    <row r="69" spans="1:17" x14ac:dyDescent="0.2">
      <c r="A69" s="161" t="s">
        <v>185</v>
      </c>
      <c r="B69" s="162" t="s">
        <v>42</v>
      </c>
      <c r="C69" s="161" t="s">
        <v>107</v>
      </c>
      <c r="D69" s="165">
        <v>0.95416666666666705</v>
      </c>
      <c r="E69" s="165">
        <v>0.59859154929577496</v>
      </c>
      <c r="F69" s="165">
        <v>0.59758551307847096</v>
      </c>
      <c r="G69" s="165">
        <v>0.73880597014925398</v>
      </c>
      <c r="H69" s="165">
        <v>0.64539007092198597</v>
      </c>
      <c r="I69" s="165">
        <v>0.61194029850746301</v>
      </c>
      <c r="J69" s="166">
        <v>0.73239436619718301</v>
      </c>
      <c r="K69" s="168">
        <v>0.73239436619718301</v>
      </c>
      <c r="O69" s="161" t="s">
        <v>116</v>
      </c>
      <c r="P69" s="178">
        <v>1.0962499999999999</v>
      </c>
      <c r="Q69" s="172">
        <v>0.67900000000000005</v>
      </c>
    </row>
    <row r="70" spans="1:17" x14ac:dyDescent="0.2">
      <c r="A70" s="161" t="s">
        <v>185</v>
      </c>
      <c r="B70" s="162" t="s">
        <v>42</v>
      </c>
      <c r="C70" s="161" t="s">
        <v>108</v>
      </c>
      <c r="D70" s="165">
        <v>0.76243093922651894</v>
      </c>
      <c r="E70" s="165">
        <v>0.18139534883720898</v>
      </c>
      <c r="F70" s="165">
        <v>0.20111731843575398</v>
      </c>
      <c r="G70" s="165">
        <v>0.33783783783783794</v>
      </c>
      <c r="H70" s="165">
        <v>0.19902912621359201</v>
      </c>
      <c r="I70" s="165">
        <v>0.25714285714285701</v>
      </c>
      <c r="J70" s="166">
        <v>0.46927374301675995</v>
      </c>
      <c r="K70" s="168">
        <v>0.46927374301675995</v>
      </c>
      <c r="O70" s="161" t="s">
        <v>93</v>
      </c>
      <c r="P70" s="178">
        <v>0.64249999999999996</v>
      </c>
      <c r="Q70" s="172">
        <v>0.79400000000000004</v>
      </c>
    </row>
    <row r="71" spans="1:17" x14ac:dyDescent="0.2">
      <c r="A71" s="161" t="s">
        <v>185</v>
      </c>
      <c r="B71" s="162" t="s">
        <v>42</v>
      </c>
      <c r="C71" s="161" t="s">
        <v>77</v>
      </c>
      <c r="D71" s="165">
        <v>0.98039215686274506</v>
      </c>
      <c r="E71" s="165">
        <v>1</v>
      </c>
      <c r="F71" s="165">
        <v>1</v>
      </c>
      <c r="G71" s="165">
        <v>1</v>
      </c>
      <c r="H71" s="165">
        <v>1</v>
      </c>
      <c r="I71" s="165">
        <v>1</v>
      </c>
      <c r="J71" s="166">
        <v>1</v>
      </c>
      <c r="K71" s="168">
        <v>1</v>
      </c>
      <c r="O71" s="161" t="s">
        <v>146</v>
      </c>
      <c r="P71" s="178">
        <v>0.79500000000000004</v>
      </c>
      <c r="Q71" s="172">
        <v>0.63600000000000001</v>
      </c>
    </row>
    <row r="72" spans="1:17" x14ac:dyDescent="0.2">
      <c r="A72" s="161" t="s">
        <v>185</v>
      </c>
      <c r="B72" s="162" t="s">
        <v>42</v>
      </c>
      <c r="C72" s="161" t="s">
        <v>109</v>
      </c>
      <c r="D72" s="165">
        <v>0.46666666666666701</v>
      </c>
      <c r="E72" s="165">
        <v>0.33870967741935504</v>
      </c>
      <c r="F72" s="165">
        <v>0.33189655172413801</v>
      </c>
      <c r="G72" s="165">
        <v>0.63636363636363602</v>
      </c>
      <c r="H72" s="165">
        <v>0.39024390243902402</v>
      </c>
      <c r="I72" s="165">
        <v>0.27272727272727298</v>
      </c>
      <c r="J72" s="166">
        <v>0.57758620689655205</v>
      </c>
      <c r="K72" s="168">
        <v>0.57758620689655205</v>
      </c>
      <c r="O72" s="161" t="s">
        <v>129</v>
      </c>
      <c r="P72" s="178">
        <v>0.125</v>
      </c>
      <c r="Q72" s="172">
        <v>7.0000000000000007E-2</v>
      </c>
    </row>
    <row r="73" spans="1:17" x14ac:dyDescent="0.2">
      <c r="A73" s="161" t="s">
        <v>185</v>
      </c>
      <c r="B73" s="162" t="s">
        <v>42</v>
      </c>
      <c r="C73" s="161" t="s">
        <v>166</v>
      </c>
      <c r="D73" s="165">
        <v>0.72093023255813904</v>
      </c>
      <c r="E73" s="165">
        <v>0.20754716981132099</v>
      </c>
      <c r="F73" s="165">
        <v>0.35294117647058798</v>
      </c>
      <c r="G73" s="165">
        <v>0.14285714285714302</v>
      </c>
      <c r="H73" s="165">
        <v>0.37735849056603799</v>
      </c>
      <c r="I73" s="165">
        <v>0.42857142857142899</v>
      </c>
      <c r="J73" s="166">
        <v>0.63529411764705901</v>
      </c>
      <c r="K73" s="168">
        <v>0.63529411764705901</v>
      </c>
      <c r="O73" s="161" t="s">
        <v>130</v>
      </c>
      <c r="P73" s="178">
        <v>0.32500000000000001</v>
      </c>
      <c r="Q73" s="172">
        <v>0.49199999999999999</v>
      </c>
    </row>
    <row r="74" spans="1:17" x14ac:dyDescent="0.2">
      <c r="A74" s="161" t="s">
        <v>185</v>
      </c>
      <c r="B74" s="162" t="s">
        <v>42</v>
      </c>
      <c r="C74" s="161" t="s">
        <v>140</v>
      </c>
      <c r="D74" s="165">
        <v>0.936708860759494</v>
      </c>
      <c r="E74" s="165">
        <v>0.32312925170067996</v>
      </c>
      <c r="F74" s="165">
        <v>0.35777777777777797</v>
      </c>
      <c r="G74" s="165">
        <v>0.38461538461538503</v>
      </c>
      <c r="H74" s="165">
        <v>0.469387755102041</v>
      </c>
      <c r="I74" s="165">
        <v>0.38461538461538503</v>
      </c>
      <c r="J74" s="166">
        <v>0.63111111111111096</v>
      </c>
      <c r="K74" s="168">
        <v>0.63111111111111096</v>
      </c>
      <c r="O74" s="161" t="s">
        <v>123</v>
      </c>
      <c r="P74" s="178">
        <v>0.16250000000000001</v>
      </c>
      <c r="Q74" s="172">
        <v>0.32100000000000001</v>
      </c>
    </row>
    <row r="75" spans="1:17" x14ac:dyDescent="0.2">
      <c r="A75" s="161" t="s">
        <v>185</v>
      </c>
      <c r="B75" s="162" t="s">
        <v>42</v>
      </c>
      <c r="C75" s="161" t="s">
        <v>139</v>
      </c>
      <c r="D75" s="165">
        <v>0.89545454545454506</v>
      </c>
      <c r="E75" s="165">
        <v>9.1911764705882415E-2</v>
      </c>
      <c r="F75" s="165">
        <v>0.25675675675675697</v>
      </c>
      <c r="G75" s="165">
        <v>0.52631578947368407</v>
      </c>
      <c r="H75" s="165">
        <v>0.39338235294117602</v>
      </c>
      <c r="I75" s="165">
        <v>0.26315789473684204</v>
      </c>
      <c r="J75" s="166">
        <v>0.59009009009008995</v>
      </c>
      <c r="K75" s="168">
        <v>0.59009009009008995</v>
      </c>
      <c r="O75" s="161" t="s">
        <v>131</v>
      </c>
      <c r="P75" s="178">
        <v>0.8</v>
      </c>
      <c r="Q75" s="172">
        <v>0.64</v>
      </c>
    </row>
    <row r="76" spans="1:17" x14ac:dyDescent="0.2">
      <c r="A76" s="161" t="s">
        <v>185</v>
      </c>
      <c r="B76" s="162" t="s">
        <v>42</v>
      </c>
      <c r="C76" s="161" t="s">
        <v>103</v>
      </c>
      <c r="D76" s="165">
        <v>0.94405594405594395</v>
      </c>
      <c r="E76" s="165">
        <v>0.29674796747967497</v>
      </c>
      <c r="F76" s="165">
        <v>0.86600496277915595</v>
      </c>
      <c r="G76" s="165">
        <v>0.86666666666666703</v>
      </c>
      <c r="H76" s="165">
        <v>0.30737704918032799</v>
      </c>
      <c r="I76" s="165">
        <v>0.73333333333333295</v>
      </c>
      <c r="J76" s="166">
        <v>0.89330024813895803</v>
      </c>
      <c r="K76" s="168">
        <v>0.89330024813895803</v>
      </c>
      <c r="O76" s="161" t="s">
        <v>135</v>
      </c>
      <c r="P76" s="178">
        <v>0.80249999999999999</v>
      </c>
      <c r="Q76" s="172">
        <v>0.877</v>
      </c>
    </row>
    <row r="77" spans="1:17" x14ac:dyDescent="0.2">
      <c r="A77" s="161" t="s">
        <v>185</v>
      </c>
      <c r="B77" s="162" t="s">
        <v>42</v>
      </c>
      <c r="C77" s="161" t="s">
        <v>116</v>
      </c>
      <c r="D77" s="165">
        <v>0.36764705882352899</v>
      </c>
      <c r="E77" s="165">
        <v>0.24886877828054299</v>
      </c>
      <c r="F77" s="165">
        <v>0.29663608562691102</v>
      </c>
      <c r="G77" s="165">
        <v>0.62162162162162193</v>
      </c>
      <c r="H77" s="165">
        <v>0.253488372093023</v>
      </c>
      <c r="I77" s="165">
        <v>0.45945945945945899</v>
      </c>
      <c r="J77" s="166">
        <v>0.35626911314984705</v>
      </c>
      <c r="K77" s="168">
        <v>0.35626911314984705</v>
      </c>
      <c r="O77" s="161" t="s">
        <v>147</v>
      </c>
      <c r="P77" s="178">
        <v>0.74250000000000005</v>
      </c>
      <c r="Q77" s="172">
        <v>0.79600000000000004</v>
      </c>
    </row>
    <row r="78" spans="1:17" x14ac:dyDescent="0.2">
      <c r="A78" s="161" t="s">
        <v>185</v>
      </c>
      <c r="B78" s="162" t="s">
        <v>42</v>
      </c>
      <c r="C78" s="161" t="s">
        <v>137</v>
      </c>
      <c r="D78" s="165">
        <v>0.93823529411764695</v>
      </c>
      <c r="E78" s="165">
        <v>0.29386892177589902</v>
      </c>
      <c r="F78" s="165">
        <v>0.24629080118694399</v>
      </c>
      <c r="G78" s="165">
        <v>0.441176470588235</v>
      </c>
      <c r="H78" s="165">
        <v>0.33333333333333298</v>
      </c>
      <c r="I78" s="165">
        <v>0.58947368421052604</v>
      </c>
      <c r="J78" s="166">
        <v>0.55934718100890202</v>
      </c>
      <c r="K78" s="168">
        <v>0.55934718100890202</v>
      </c>
      <c r="O78" s="161" t="s">
        <v>99</v>
      </c>
      <c r="P78" s="178">
        <v>0.29875000000000002</v>
      </c>
      <c r="Q78" s="172">
        <v>0.32900000000000001</v>
      </c>
    </row>
    <row r="79" spans="1:17" x14ac:dyDescent="0.2">
      <c r="A79" s="161" t="s">
        <v>185</v>
      </c>
      <c r="B79" s="162" t="s">
        <v>42</v>
      </c>
      <c r="C79" s="161" t="s">
        <v>138</v>
      </c>
      <c r="D79" s="165">
        <v>0.97927461139896399</v>
      </c>
      <c r="E79" s="165">
        <v>0.23214285714285701</v>
      </c>
      <c r="F79" s="165">
        <v>0.31481481481481499</v>
      </c>
      <c r="G79" s="165">
        <v>0.61333333333333295</v>
      </c>
      <c r="H79" s="165">
        <v>0.36160714285714302</v>
      </c>
      <c r="I79" s="165">
        <v>0.59154929577464799</v>
      </c>
      <c r="J79" s="166">
        <v>0.65432098765432101</v>
      </c>
      <c r="K79" s="168">
        <v>0.65432098765432101</v>
      </c>
      <c r="O79" s="161" t="s">
        <v>89</v>
      </c>
      <c r="P79" s="178">
        <v>0.53125</v>
      </c>
      <c r="Q79" s="172">
        <v>0.63400000000000001</v>
      </c>
    </row>
    <row r="80" spans="1:17" x14ac:dyDescent="0.2">
      <c r="A80" s="161" t="s">
        <v>185</v>
      </c>
      <c r="B80" s="162" t="s">
        <v>42</v>
      </c>
      <c r="C80" s="161" t="s">
        <v>158</v>
      </c>
      <c r="D80" s="165">
        <v>1</v>
      </c>
      <c r="E80" s="165">
        <v>0.59230769230769198</v>
      </c>
      <c r="F80" s="165">
        <v>0.77308707124010601</v>
      </c>
      <c r="G80" s="165">
        <v>0.72</v>
      </c>
      <c r="H80" s="165">
        <v>0.6</v>
      </c>
      <c r="I80" s="165">
        <v>0.72</v>
      </c>
      <c r="J80" s="166">
        <v>0.81266490765171495</v>
      </c>
      <c r="K80" s="168">
        <v>0.81266490765171495</v>
      </c>
      <c r="O80" s="161" t="s">
        <v>138</v>
      </c>
      <c r="P80" s="178">
        <v>0.57999999999999996</v>
      </c>
      <c r="Q80" s="172">
        <v>0.53500000000000003</v>
      </c>
    </row>
    <row r="81" spans="1:17" x14ac:dyDescent="0.2">
      <c r="A81" s="161" t="s">
        <v>185</v>
      </c>
      <c r="B81" s="162" t="s">
        <v>42</v>
      </c>
      <c r="C81" s="161" t="s">
        <v>164</v>
      </c>
      <c r="D81" s="165">
        <v>0.99253731343283602</v>
      </c>
      <c r="E81" s="165">
        <v>0.52941176470588203</v>
      </c>
      <c r="F81" s="165">
        <v>0.50501672240802697</v>
      </c>
      <c r="G81" s="165">
        <v>0.76470588235294101</v>
      </c>
      <c r="H81" s="165">
        <v>0.56372549019607798</v>
      </c>
      <c r="I81" s="165">
        <v>0.76470588235294101</v>
      </c>
      <c r="J81" s="166">
        <v>0.68561872909699006</v>
      </c>
      <c r="K81" s="168">
        <v>0.68561872909699006</v>
      </c>
      <c r="O81" s="161" t="s">
        <v>159</v>
      </c>
      <c r="P81" s="178">
        <v>0.13750000000000001</v>
      </c>
      <c r="Q81" s="172">
        <v>0.19400000000000001</v>
      </c>
    </row>
    <row r="82" spans="1:17" x14ac:dyDescent="0.2">
      <c r="A82" s="161" t="s">
        <v>185</v>
      </c>
      <c r="B82" s="162" t="s">
        <v>42</v>
      </c>
      <c r="C82" s="161" t="s">
        <v>80</v>
      </c>
      <c r="D82" s="165">
        <v>0.87179487179487192</v>
      </c>
      <c r="E82" s="165">
        <v>1.9685039370078702E-2</v>
      </c>
      <c r="F82" s="165">
        <v>2.0348837209302299E-2</v>
      </c>
      <c r="G82" s="165">
        <v>7.1428571428571397E-2</v>
      </c>
      <c r="H82" s="165">
        <v>3.9840637450199196E-2</v>
      </c>
      <c r="I82" s="165">
        <v>3.5714285714285698E-2</v>
      </c>
      <c r="J82" s="166">
        <v>0.40697674418604601</v>
      </c>
      <c r="K82" s="168">
        <v>0.40697674418604601</v>
      </c>
      <c r="O82" s="161" t="s">
        <v>82</v>
      </c>
      <c r="P82" s="178">
        <v>0.25</v>
      </c>
      <c r="Q82" s="172">
        <v>0.307</v>
      </c>
    </row>
    <row r="83" spans="1:17" x14ac:dyDescent="0.2">
      <c r="A83" s="161" t="s">
        <v>185</v>
      </c>
      <c r="B83" s="162" t="s">
        <v>42</v>
      </c>
      <c r="C83" s="161" t="s">
        <v>92</v>
      </c>
      <c r="D83" s="165">
        <v>0.52813852813852802</v>
      </c>
      <c r="E83" s="165">
        <v>0.10165484633569699</v>
      </c>
      <c r="F83" s="165">
        <v>9.0211132437620009E-2</v>
      </c>
      <c r="G83" s="165">
        <v>0.51351351351351393</v>
      </c>
      <c r="H83" s="165">
        <v>0.125295508274232</v>
      </c>
      <c r="I83" s="165">
        <v>0.43243243243243201</v>
      </c>
      <c r="J83" s="166">
        <v>0.27639155470249499</v>
      </c>
      <c r="K83" s="168">
        <v>0.27639155470249499</v>
      </c>
      <c r="O83" s="161" t="s">
        <v>114</v>
      </c>
      <c r="P83" s="178">
        <v>0.4</v>
      </c>
      <c r="Q83" s="172">
        <v>0.32600000000000001</v>
      </c>
    </row>
    <row r="84" spans="1:17" x14ac:dyDescent="0.2">
      <c r="A84" s="161" t="s">
        <v>185</v>
      </c>
      <c r="B84" s="162" t="s">
        <v>42</v>
      </c>
      <c r="C84" s="161" t="s">
        <v>212</v>
      </c>
      <c r="D84" s="165">
        <v>0.89922480620154999</v>
      </c>
      <c r="E84" s="165">
        <v>0.18888888888888899</v>
      </c>
      <c r="F84" s="165">
        <v>0.245551601423488</v>
      </c>
      <c r="G84" s="165">
        <v>0.31818181818181801</v>
      </c>
      <c r="H84" s="165">
        <v>0.24581005586592203</v>
      </c>
      <c r="I84" s="165">
        <v>0.209302325581395</v>
      </c>
      <c r="J84" s="166">
        <v>0.55516014234875399</v>
      </c>
      <c r="K84" s="168">
        <v>0.55516014234875399</v>
      </c>
      <c r="O84" s="161" t="s">
        <v>168</v>
      </c>
      <c r="P84" s="178">
        <v>0.21249999999999999</v>
      </c>
      <c r="Q84" s="172">
        <v>0.28999999999999998</v>
      </c>
    </row>
    <row r="85" spans="1:17" x14ac:dyDescent="0.2">
      <c r="A85" s="161" t="s">
        <v>185</v>
      </c>
      <c r="B85" s="162" t="s">
        <v>42</v>
      </c>
      <c r="C85" s="161" t="s">
        <v>85</v>
      </c>
      <c r="D85" s="165">
        <v>0.82335329341317409</v>
      </c>
      <c r="E85" s="165">
        <v>0.90605427974947805</v>
      </c>
      <c r="F85" s="165">
        <v>0.85164051355206893</v>
      </c>
      <c r="G85" s="165">
        <v>0.94082840236686394</v>
      </c>
      <c r="H85" s="165">
        <v>0.91823899371069206</v>
      </c>
      <c r="I85" s="165">
        <v>0.9289940828402371</v>
      </c>
      <c r="J85" s="166">
        <v>0.86305278174037103</v>
      </c>
      <c r="K85" s="168">
        <v>0.86305278174037103</v>
      </c>
      <c r="O85" s="161" t="s">
        <v>173</v>
      </c>
      <c r="P85" s="178">
        <v>0.32500000000000001</v>
      </c>
      <c r="Q85" s="172">
        <v>0.20599999999999999</v>
      </c>
    </row>
    <row r="86" spans="1:17" x14ac:dyDescent="0.2">
      <c r="A86" s="161" t="s">
        <v>185</v>
      </c>
      <c r="B86" s="162" t="s">
        <v>42</v>
      </c>
      <c r="C86" s="161" t="s">
        <v>121</v>
      </c>
      <c r="D86" s="165">
        <v>0.78494623655913998</v>
      </c>
      <c r="E86" s="165">
        <v>0.44755244755244805</v>
      </c>
      <c r="F86" s="165">
        <v>0.44565217391304401</v>
      </c>
      <c r="G86" s="165">
        <v>0.88888888888888895</v>
      </c>
      <c r="H86" s="165">
        <v>0.51748251748251695</v>
      </c>
      <c r="I86" s="165">
        <v>0.88888888888888895</v>
      </c>
      <c r="J86" s="166">
        <v>0.54710144927536197</v>
      </c>
      <c r="K86" s="168">
        <v>0.54710144927536197</v>
      </c>
      <c r="O86" s="161" t="s">
        <v>132</v>
      </c>
      <c r="P86" s="178">
        <v>0.125</v>
      </c>
      <c r="Q86" s="172">
        <v>0.158</v>
      </c>
    </row>
    <row r="87" spans="1:17" x14ac:dyDescent="0.2">
      <c r="A87" s="161" t="s">
        <v>185</v>
      </c>
      <c r="B87" s="162" t="s">
        <v>42</v>
      </c>
      <c r="C87" s="161" t="s">
        <v>105</v>
      </c>
      <c r="D87" s="165">
        <v>0.75</v>
      </c>
      <c r="E87" s="165">
        <v>0.60792951541850204</v>
      </c>
      <c r="F87" s="165">
        <v>0.625925925925926</v>
      </c>
      <c r="G87" s="165">
        <v>1</v>
      </c>
      <c r="H87" s="165">
        <v>0.59030837004405301</v>
      </c>
      <c r="I87" s="165">
        <v>0.75</v>
      </c>
      <c r="J87" s="166">
        <v>0.73703703703703694</v>
      </c>
      <c r="K87" s="168">
        <v>0.73703703703703694</v>
      </c>
      <c r="O87" s="161" t="s">
        <v>150</v>
      </c>
      <c r="P87" s="178">
        <v>0.53749999999999998</v>
      </c>
      <c r="Q87" s="172">
        <v>0.58599999999999997</v>
      </c>
    </row>
    <row r="88" spans="1:17" x14ac:dyDescent="0.2">
      <c r="A88" s="161" t="s">
        <v>185</v>
      </c>
      <c r="B88" s="162" t="s">
        <v>42</v>
      </c>
      <c r="C88" s="161" t="s">
        <v>160</v>
      </c>
      <c r="D88" s="165">
        <v>0.67730496453900702</v>
      </c>
      <c r="E88" s="165">
        <v>0.42965779467680598</v>
      </c>
      <c r="F88" s="165">
        <v>0.44178082191780804</v>
      </c>
      <c r="G88" s="165">
        <v>0.48571428571428599</v>
      </c>
      <c r="H88" s="165">
        <v>0.52190476190476198</v>
      </c>
      <c r="I88" s="165">
        <v>0.54368932038834894</v>
      </c>
      <c r="J88" s="166">
        <v>0.62157534246575308</v>
      </c>
      <c r="K88" s="168">
        <v>0.62157534246575308</v>
      </c>
      <c r="O88" s="161" t="s">
        <v>124</v>
      </c>
      <c r="P88" s="178">
        <v>8.1250000000000003E-2</v>
      </c>
      <c r="Q88" s="172">
        <v>0.33800000000000002</v>
      </c>
    </row>
    <row r="89" spans="1:17" x14ac:dyDescent="0.2">
      <c r="A89" s="161" t="s">
        <v>185</v>
      </c>
      <c r="B89" s="162" t="s">
        <v>42</v>
      </c>
      <c r="C89" s="161" t="s">
        <v>167</v>
      </c>
      <c r="D89" s="165">
        <v>1</v>
      </c>
      <c r="E89" s="165">
        <v>0.91124260355029607</v>
      </c>
      <c r="F89" s="165">
        <v>0.99386503067484699</v>
      </c>
      <c r="G89" s="165">
        <v>1</v>
      </c>
      <c r="H89" s="165">
        <v>0.98816568047337294</v>
      </c>
      <c r="I89" s="165">
        <v>1</v>
      </c>
      <c r="J89" s="166">
        <v>0.99386503067484699</v>
      </c>
      <c r="K89" s="168">
        <v>0.99386503067484699</v>
      </c>
      <c r="O89" s="161" t="s">
        <v>165</v>
      </c>
      <c r="P89" s="178">
        <v>0.1</v>
      </c>
      <c r="Q89" s="172">
        <v>0.18</v>
      </c>
    </row>
    <row r="90" spans="1:17" x14ac:dyDescent="0.2">
      <c r="A90" s="161" t="s">
        <v>185</v>
      </c>
      <c r="B90" s="162" t="s">
        <v>42</v>
      </c>
      <c r="C90" s="161" t="s">
        <v>205</v>
      </c>
      <c r="D90" s="165">
        <v>1</v>
      </c>
      <c r="E90" s="165">
        <v>1</v>
      </c>
      <c r="F90" s="165">
        <v>1</v>
      </c>
      <c r="G90" s="165">
        <v>1</v>
      </c>
      <c r="H90" s="165">
        <v>1</v>
      </c>
      <c r="I90" s="165">
        <v>1</v>
      </c>
      <c r="J90" s="166">
        <v>1</v>
      </c>
      <c r="K90" s="168">
        <v>1</v>
      </c>
      <c r="O90" s="161" t="s">
        <v>115</v>
      </c>
      <c r="P90" s="178">
        <v>8.7499999999999994E-2</v>
      </c>
      <c r="Q90" s="172">
        <v>0.191</v>
      </c>
    </row>
    <row r="91" spans="1:17" x14ac:dyDescent="0.2">
      <c r="A91" s="161" t="s">
        <v>185</v>
      </c>
      <c r="B91" s="162" t="s">
        <v>42</v>
      </c>
      <c r="C91" s="161" t="s">
        <v>190</v>
      </c>
      <c r="D91" s="165">
        <v>0.99009900990098998</v>
      </c>
      <c r="E91" s="165">
        <v>0.35087719298245601</v>
      </c>
      <c r="F91" s="165">
        <v>0.49315068493150699</v>
      </c>
      <c r="G91" s="165">
        <v>1</v>
      </c>
      <c r="H91" s="165">
        <v>0.53801169590643294</v>
      </c>
      <c r="I91" s="165">
        <v>0.875</v>
      </c>
      <c r="J91" s="166">
        <v>0.65296803652967994</v>
      </c>
      <c r="K91" s="168">
        <v>0.65296803652967994</v>
      </c>
      <c r="O91" s="161" t="s">
        <v>166</v>
      </c>
      <c r="P91" s="178">
        <v>8.7499999999999994E-2</v>
      </c>
      <c r="Q91" s="172">
        <v>0.1</v>
      </c>
    </row>
    <row r="92" spans="1:17" x14ac:dyDescent="0.2">
      <c r="A92" s="161" t="s">
        <v>185</v>
      </c>
      <c r="B92" s="162" t="s">
        <v>42</v>
      </c>
      <c r="C92" s="161" t="s">
        <v>115</v>
      </c>
      <c r="D92" s="165">
        <v>9.5238095238095205E-2</v>
      </c>
      <c r="E92" s="165">
        <v>0.22368421052631601</v>
      </c>
      <c r="F92" s="165">
        <v>0.16935483870967702</v>
      </c>
      <c r="G92" s="165">
        <v>0.9</v>
      </c>
      <c r="H92" s="165">
        <v>0.38157894736842102</v>
      </c>
      <c r="I92" s="165">
        <v>0.8</v>
      </c>
      <c r="J92" s="166">
        <v>0.33064516129032301</v>
      </c>
      <c r="K92" s="168">
        <v>0.33064516129032301</v>
      </c>
      <c r="O92" s="161" t="s">
        <v>153</v>
      </c>
      <c r="P92" s="178">
        <v>0.32500000000000001</v>
      </c>
      <c r="Q92" s="172">
        <v>0.14000000000000001</v>
      </c>
    </row>
    <row r="93" spans="1:17" x14ac:dyDescent="0.2">
      <c r="A93" s="161" t="s">
        <v>185</v>
      </c>
      <c r="B93" s="162" t="s">
        <v>42</v>
      </c>
      <c r="C93" s="161" t="s">
        <v>162</v>
      </c>
      <c r="D93" s="165">
        <v>0.96875</v>
      </c>
      <c r="E93" s="165">
        <v>0.56928838951310901</v>
      </c>
      <c r="F93" s="165">
        <v>0.50653594771241794</v>
      </c>
      <c r="G93" s="165">
        <v>0.68181818181818199</v>
      </c>
      <c r="H93" s="165">
        <v>0.56928838951310901</v>
      </c>
      <c r="I93" s="165">
        <v>0.68181818181818199</v>
      </c>
      <c r="J93" s="166">
        <v>0.63725490196078394</v>
      </c>
      <c r="K93" s="168">
        <v>0.63725490196078394</v>
      </c>
      <c r="O93" s="161" t="s">
        <v>133</v>
      </c>
      <c r="P93" s="178">
        <v>0.59250000000000003</v>
      </c>
      <c r="Q93" s="172">
        <v>0.47399999999999998</v>
      </c>
    </row>
    <row r="94" spans="1:17" x14ac:dyDescent="0.2">
      <c r="A94" s="161" t="s">
        <v>185</v>
      </c>
      <c r="B94" s="162" t="s">
        <v>42</v>
      </c>
      <c r="C94" s="161" t="s">
        <v>78</v>
      </c>
      <c r="D94" s="165">
        <v>0.97727272727272707</v>
      </c>
      <c r="E94" s="165">
        <v>0.96460176991150404</v>
      </c>
      <c r="F94" s="165">
        <v>0.98404255319148903</v>
      </c>
      <c r="G94" s="165">
        <v>1</v>
      </c>
      <c r="H94" s="165">
        <v>0.97345132743362794</v>
      </c>
      <c r="I94" s="165">
        <v>1</v>
      </c>
      <c r="J94" s="166">
        <v>0.98404255319148903</v>
      </c>
      <c r="K94" s="168">
        <v>0.98404255319148903</v>
      </c>
      <c r="O94" s="161" t="s">
        <v>167</v>
      </c>
      <c r="P94" s="178">
        <v>0.375</v>
      </c>
      <c r="Q94" s="172">
        <v>0.184</v>
      </c>
    </row>
    <row r="95" spans="1:17" x14ac:dyDescent="0.2">
      <c r="A95" s="161" t="s">
        <v>185</v>
      </c>
      <c r="B95" s="162" t="s">
        <v>42</v>
      </c>
      <c r="C95" s="161" t="s">
        <v>122</v>
      </c>
      <c r="D95" s="165">
        <v>0.75257731958762908</v>
      </c>
      <c r="E95" s="165">
        <v>0.22222222222222199</v>
      </c>
      <c r="F95" s="165">
        <v>0.33484162895927594</v>
      </c>
      <c r="G95" s="165">
        <v>0.8</v>
      </c>
      <c r="H95" s="165">
        <v>0.46621621621621601</v>
      </c>
      <c r="I95" s="165">
        <v>1</v>
      </c>
      <c r="J95" s="166">
        <v>0.56108597285067896</v>
      </c>
      <c r="K95" s="168">
        <v>0.56108597285067896</v>
      </c>
      <c r="O95" s="161" t="s">
        <v>154</v>
      </c>
      <c r="P95" s="178">
        <v>0.32500000000000001</v>
      </c>
      <c r="Q95" s="172">
        <v>0.18</v>
      </c>
    </row>
    <row r="96" spans="1:17" x14ac:dyDescent="0.2">
      <c r="A96" s="161" t="s">
        <v>185</v>
      </c>
      <c r="B96" s="162" t="s">
        <v>42</v>
      </c>
      <c r="C96" s="161" t="s">
        <v>163</v>
      </c>
      <c r="D96" s="165">
        <v>1</v>
      </c>
      <c r="E96" s="165">
        <v>1</v>
      </c>
      <c r="F96" s="165">
        <v>0.99762470308788598</v>
      </c>
      <c r="G96" s="165">
        <v>1</v>
      </c>
      <c r="H96" s="165">
        <v>1</v>
      </c>
      <c r="I96" s="165">
        <v>1</v>
      </c>
      <c r="J96" s="166">
        <v>0.99762470308788598</v>
      </c>
      <c r="K96" s="168">
        <v>0.99762470308788598</v>
      </c>
      <c r="O96" s="161" t="s">
        <v>155</v>
      </c>
      <c r="P96" s="178">
        <v>0.125</v>
      </c>
      <c r="Q96" s="172">
        <v>3.4000000000000002E-2</v>
      </c>
    </row>
    <row r="97" spans="1:17" x14ac:dyDescent="0.2">
      <c r="A97" s="161" t="s">
        <v>185</v>
      </c>
      <c r="B97" s="162" t="s">
        <v>42</v>
      </c>
      <c r="C97" s="161" t="s">
        <v>89</v>
      </c>
      <c r="D97" s="165">
        <v>0.96451612903225792</v>
      </c>
      <c r="E97" s="165">
        <v>0.95933014354067003</v>
      </c>
      <c r="F97" s="165">
        <v>0.94845360824742297</v>
      </c>
      <c r="G97" s="165">
        <v>0.96153846153846201</v>
      </c>
      <c r="H97" s="165">
        <v>0.97836538461538491</v>
      </c>
      <c r="I97" s="165">
        <v>1</v>
      </c>
      <c r="J97" s="166">
        <v>0.95704467353951894</v>
      </c>
      <c r="K97" s="168">
        <v>0.95704467353951894</v>
      </c>
      <c r="O97" s="161" t="s">
        <v>192</v>
      </c>
      <c r="P97" s="178">
        <v>0.13750000000000001</v>
      </c>
      <c r="Q97" s="172">
        <v>0.3</v>
      </c>
    </row>
    <row r="98" spans="1:17" x14ac:dyDescent="0.2">
      <c r="A98" s="161" t="s">
        <v>185</v>
      </c>
      <c r="B98" s="162" t="s">
        <v>42</v>
      </c>
      <c r="C98" s="161" t="s">
        <v>93</v>
      </c>
      <c r="D98" s="165">
        <v>0.48396501457725899</v>
      </c>
      <c r="E98" s="165">
        <v>0.28496042216358797</v>
      </c>
      <c r="F98" s="165">
        <v>0.28756058158319897</v>
      </c>
      <c r="G98" s="165">
        <v>0.21276595744680901</v>
      </c>
      <c r="H98" s="165">
        <v>0.32808398950131201</v>
      </c>
      <c r="I98" s="165">
        <v>0.47872340425531901</v>
      </c>
      <c r="J98" s="166">
        <v>0.45234248788368298</v>
      </c>
      <c r="K98" s="168">
        <v>0.45234248788368298</v>
      </c>
      <c r="O98" s="161" t="s">
        <v>191</v>
      </c>
      <c r="P98" s="178">
        <v>0.24124999999999999</v>
      </c>
      <c r="Q98" s="172">
        <v>0.22500000000000001</v>
      </c>
    </row>
    <row r="99" spans="1:17" x14ac:dyDescent="0.2">
      <c r="A99" s="161" t="s">
        <v>185</v>
      </c>
      <c r="B99" s="162" t="s">
        <v>42</v>
      </c>
      <c r="C99" s="161" t="s">
        <v>154</v>
      </c>
      <c r="D99" s="165">
        <v>0.97169811320754707</v>
      </c>
      <c r="E99" s="165">
        <v>0.924050632911392</v>
      </c>
      <c r="F99" s="165">
        <v>0.91851851851851807</v>
      </c>
      <c r="G99" s="165">
        <v>1</v>
      </c>
      <c r="H99" s="165">
        <v>0.92857142857142905</v>
      </c>
      <c r="I99" s="165">
        <v>1</v>
      </c>
      <c r="J99" s="166">
        <v>0.92222222222222205</v>
      </c>
      <c r="K99" s="168">
        <v>0.92222222222222205</v>
      </c>
      <c r="O99" s="161" t="s">
        <v>186</v>
      </c>
      <c r="P99" s="178">
        <v>0.3125</v>
      </c>
      <c r="Q99" s="172">
        <v>0.52900000000000003</v>
      </c>
    </row>
    <row r="100" spans="1:17" x14ac:dyDescent="0.2">
      <c r="A100" s="161" t="s">
        <v>185</v>
      </c>
      <c r="B100" s="162" t="s">
        <v>42</v>
      </c>
      <c r="C100" s="161" t="s">
        <v>129</v>
      </c>
      <c r="D100" s="165">
        <v>0.66666666666666696</v>
      </c>
      <c r="E100" s="165">
        <v>0.47368421052631599</v>
      </c>
      <c r="F100" s="165">
        <v>0.57499999999999996</v>
      </c>
      <c r="G100" s="159"/>
      <c r="H100" s="165">
        <v>0.52631578947368407</v>
      </c>
      <c r="I100" s="159"/>
      <c r="J100" s="166">
        <v>0.57499999999999996</v>
      </c>
      <c r="K100" s="168">
        <v>0.57499999999999996</v>
      </c>
      <c r="O100" s="161" t="s">
        <v>190</v>
      </c>
      <c r="P100" s="178">
        <v>0.45</v>
      </c>
      <c r="Q100" s="172">
        <v>0.52500000000000002</v>
      </c>
    </row>
    <row r="101" spans="1:17" x14ac:dyDescent="0.2">
      <c r="A101" s="161" t="s">
        <v>185</v>
      </c>
      <c r="B101" s="162" t="s">
        <v>42</v>
      </c>
      <c r="C101" s="161" t="s">
        <v>157</v>
      </c>
      <c r="D101" s="165">
        <v>0.98181818181818203</v>
      </c>
      <c r="E101" s="165">
        <v>0.98684210526315796</v>
      </c>
      <c r="F101" s="165">
        <v>0.99337748344370891</v>
      </c>
      <c r="G101" s="165">
        <v>1</v>
      </c>
      <c r="H101" s="165">
        <v>0.98684210526315796</v>
      </c>
      <c r="I101" s="165">
        <v>1</v>
      </c>
      <c r="J101" s="166">
        <v>0.99337748344370891</v>
      </c>
      <c r="K101" s="168">
        <v>0.99337748344370891</v>
      </c>
      <c r="O101" s="161" t="s">
        <v>196</v>
      </c>
      <c r="P101" s="178">
        <v>0.15</v>
      </c>
      <c r="Q101" s="172">
        <v>0.2</v>
      </c>
    </row>
    <row r="102" spans="1:17" x14ac:dyDescent="0.2">
      <c r="A102" s="161" t="s">
        <v>185</v>
      </c>
      <c r="B102" s="162" t="s">
        <v>42</v>
      </c>
      <c r="C102" s="161" t="s">
        <v>155</v>
      </c>
      <c r="D102" s="165">
        <v>1</v>
      </c>
      <c r="E102" s="165">
        <v>0.85714285714285698</v>
      </c>
      <c r="F102" s="165">
        <v>0.87301587301587302</v>
      </c>
      <c r="G102" s="165">
        <v>1</v>
      </c>
      <c r="H102" s="165">
        <v>0.83928571428571397</v>
      </c>
      <c r="I102" s="165">
        <v>1</v>
      </c>
      <c r="J102" s="166">
        <v>0.88888888888888895</v>
      </c>
      <c r="K102" s="168">
        <v>0.88888888888888895</v>
      </c>
      <c r="O102" s="161" t="s">
        <v>197</v>
      </c>
      <c r="P102" s="178"/>
      <c r="Q102" s="172">
        <v>0.25</v>
      </c>
    </row>
    <row r="103" spans="1:17" x14ac:dyDescent="0.2">
      <c r="A103" s="161" t="s">
        <v>185</v>
      </c>
      <c r="B103" s="162" t="s">
        <v>42</v>
      </c>
      <c r="C103" s="161" t="s">
        <v>133</v>
      </c>
      <c r="D103" s="165">
        <v>0.64795918367346905</v>
      </c>
      <c r="E103" s="165">
        <v>0.19221967963386699</v>
      </c>
      <c r="F103" s="165">
        <v>0.17848970251716201</v>
      </c>
      <c r="G103" s="165">
        <v>0.57692307692307698</v>
      </c>
      <c r="H103" s="165">
        <v>0.273563218390805</v>
      </c>
      <c r="I103" s="165">
        <v>0.20833333333333301</v>
      </c>
      <c r="J103" s="166">
        <v>0.48054919908466798</v>
      </c>
      <c r="K103" s="168">
        <v>0.48054919908466798</v>
      </c>
      <c r="O103" s="161" t="s">
        <v>205</v>
      </c>
      <c r="P103" s="178">
        <v>0.125</v>
      </c>
      <c r="Q103" s="172">
        <v>6.4000000000000001E-2</v>
      </c>
    </row>
    <row r="104" spans="1:17" x14ac:dyDescent="0.2">
      <c r="A104" s="161" t="s">
        <v>185</v>
      </c>
      <c r="B104" s="162" t="s">
        <v>42</v>
      </c>
      <c r="C104" s="161" t="s">
        <v>81</v>
      </c>
      <c r="D104" s="165">
        <v>0.967741935483871</v>
      </c>
      <c r="E104" s="165">
        <v>0.441176470588235</v>
      </c>
      <c r="F104" s="165">
        <v>0.42307692307692302</v>
      </c>
      <c r="G104" s="165">
        <v>0.33333333333333298</v>
      </c>
      <c r="H104" s="165">
        <v>0.45714285714285702</v>
      </c>
      <c r="I104" s="165">
        <v>0.66666666666666696</v>
      </c>
      <c r="J104" s="166">
        <v>0.65384615384615397</v>
      </c>
      <c r="K104" s="168">
        <v>0.65384615384615397</v>
      </c>
      <c r="O104" s="161" t="s">
        <v>206</v>
      </c>
      <c r="P104" s="178">
        <v>0.375</v>
      </c>
      <c r="Q104" s="172">
        <v>0.27400000000000002</v>
      </c>
    </row>
    <row r="105" spans="1:17" x14ac:dyDescent="0.2">
      <c r="A105" s="161" t="s">
        <v>185</v>
      </c>
      <c r="B105" s="162" t="s">
        <v>42</v>
      </c>
      <c r="C105" s="161" t="s">
        <v>82</v>
      </c>
      <c r="D105" s="165">
        <v>0.97727272727272707</v>
      </c>
      <c r="E105" s="165">
        <v>0.992307692307692</v>
      </c>
      <c r="F105" s="165">
        <v>1</v>
      </c>
      <c r="G105" s="165">
        <v>1</v>
      </c>
      <c r="H105" s="165">
        <v>1</v>
      </c>
      <c r="I105" s="165">
        <v>1</v>
      </c>
      <c r="J105" s="166">
        <v>1</v>
      </c>
      <c r="K105" s="168">
        <v>1</v>
      </c>
      <c r="O105" s="161" t="s">
        <v>212</v>
      </c>
      <c r="P105" s="178">
        <v>0.34250000000000003</v>
      </c>
      <c r="Q105" s="172">
        <v>0.249</v>
      </c>
    </row>
    <row r="106" spans="1:17" x14ac:dyDescent="0.2">
      <c r="A106" s="161" t="s">
        <v>185</v>
      </c>
      <c r="B106" s="162" t="s">
        <v>42</v>
      </c>
      <c r="C106" s="161" t="s">
        <v>161</v>
      </c>
      <c r="D106" s="165">
        <v>0.95918367346938793</v>
      </c>
      <c r="E106" s="165">
        <v>0.46794871794871801</v>
      </c>
      <c r="F106" s="165">
        <v>0.41348314606741604</v>
      </c>
      <c r="G106" s="165">
        <v>0.55172413793103403</v>
      </c>
      <c r="H106" s="165">
        <v>0.48397435897435898</v>
      </c>
      <c r="I106" s="165">
        <v>0.55172413793103403</v>
      </c>
      <c r="J106" s="166">
        <v>0.65617977528089899</v>
      </c>
      <c r="K106" s="168">
        <v>0.65617977528089899</v>
      </c>
      <c r="O106" s="161" t="s">
        <v>213</v>
      </c>
      <c r="P106" s="178">
        <v>0.21249999999999999</v>
      </c>
      <c r="Q106" s="172">
        <v>0.24399999999999999</v>
      </c>
    </row>
    <row r="107" spans="1:17" x14ac:dyDescent="0.2">
      <c r="A107" s="161" t="s">
        <v>185</v>
      </c>
      <c r="B107" s="162" t="s">
        <v>42</v>
      </c>
      <c r="C107" s="161" t="s">
        <v>132</v>
      </c>
      <c r="D107" s="165">
        <v>0.91089108910891103</v>
      </c>
      <c r="E107" s="165">
        <v>0.26896551724137902</v>
      </c>
      <c r="F107" s="165">
        <v>0.24242424242424199</v>
      </c>
      <c r="G107" s="165">
        <v>0.5</v>
      </c>
      <c r="H107" s="165">
        <v>0.30344827586206902</v>
      </c>
      <c r="I107" s="165">
        <v>0.5</v>
      </c>
      <c r="J107" s="166">
        <v>0.59090909090909105</v>
      </c>
      <c r="K107" s="168">
        <v>0.59090909090909105</v>
      </c>
      <c r="O107" s="161" t="s">
        <v>214</v>
      </c>
      <c r="P107" s="178">
        <v>0.48749999999999999</v>
      </c>
      <c r="Q107" s="172">
        <v>0.52</v>
      </c>
    </row>
    <row r="108" spans="1:17" x14ac:dyDescent="0.2">
      <c r="A108" s="161" t="s">
        <v>185</v>
      </c>
      <c r="B108" s="162" t="s">
        <v>42</v>
      </c>
      <c r="C108" s="161" t="s">
        <v>221</v>
      </c>
      <c r="D108" s="165">
        <v>0.99280575539568305</v>
      </c>
      <c r="E108" s="165">
        <v>0.99724517906336108</v>
      </c>
      <c r="F108" s="165">
        <v>0.99334811529933509</v>
      </c>
      <c r="G108" s="165">
        <v>1</v>
      </c>
      <c r="H108" s="165">
        <v>1</v>
      </c>
      <c r="I108" s="165">
        <v>1</v>
      </c>
      <c r="J108" s="166">
        <v>1</v>
      </c>
      <c r="K108" s="168">
        <v>1</v>
      </c>
      <c r="O108" s="161" t="s">
        <v>210</v>
      </c>
      <c r="P108" s="178">
        <v>0.35499999999999998</v>
      </c>
      <c r="Q108" s="172">
        <v>0.42</v>
      </c>
    </row>
    <row r="109" spans="1:17" x14ac:dyDescent="0.2">
      <c r="A109" s="161" t="s">
        <v>185</v>
      </c>
      <c r="B109" s="162" t="s">
        <v>42</v>
      </c>
      <c r="C109" s="161" t="s">
        <v>213</v>
      </c>
      <c r="D109" s="165">
        <v>1</v>
      </c>
      <c r="E109" s="165">
        <v>0.162962962962963</v>
      </c>
      <c r="F109" s="165">
        <v>0.13703703703703701</v>
      </c>
      <c r="G109" s="165">
        <v>0.35</v>
      </c>
      <c r="H109" s="165">
        <v>0.162962962962963</v>
      </c>
      <c r="I109" s="165">
        <v>0.2</v>
      </c>
      <c r="J109" s="166">
        <v>0.46666666666666701</v>
      </c>
      <c r="K109" s="168">
        <v>0.46666666666666701</v>
      </c>
      <c r="O109" s="161" t="s">
        <v>211</v>
      </c>
      <c r="P109" s="178">
        <v>0.38750000000000001</v>
      </c>
      <c r="Q109" s="172"/>
    </row>
    <row r="110" spans="1:17" x14ac:dyDescent="0.2">
      <c r="A110" s="161" t="s">
        <v>185</v>
      </c>
      <c r="B110" s="162" t="s">
        <v>42</v>
      </c>
      <c r="C110" s="161" t="s">
        <v>113</v>
      </c>
      <c r="D110" s="165">
        <v>0.80412371134020599</v>
      </c>
      <c r="E110" s="165">
        <v>0.21008403361344499</v>
      </c>
      <c r="F110" s="165">
        <v>0.21076233183856499</v>
      </c>
      <c r="G110" s="165">
        <v>0.58333333333333304</v>
      </c>
      <c r="H110" s="165">
        <v>0.25217391304347797</v>
      </c>
      <c r="I110" s="165">
        <v>0.5</v>
      </c>
      <c r="J110" s="166">
        <v>0.47982062780269102</v>
      </c>
      <c r="K110" s="168">
        <v>0.47982062780269102</v>
      </c>
      <c r="O110" s="161" t="s">
        <v>219</v>
      </c>
      <c r="P110" s="178">
        <v>6.25E-2</v>
      </c>
      <c r="Q110" s="172">
        <v>0.23</v>
      </c>
    </row>
    <row r="111" spans="1:17" x14ac:dyDescent="0.2">
      <c r="A111" s="161" t="s">
        <v>185</v>
      </c>
      <c r="B111" s="162" t="s">
        <v>42</v>
      </c>
      <c r="C111" s="161" t="s">
        <v>128</v>
      </c>
      <c r="D111" s="165">
        <v>0.83516483516483508</v>
      </c>
      <c r="E111" s="165">
        <v>0.17785234899328897</v>
      </c>
      <c r="F111" s="165">
        <v>0.28764044943820199</v>
      </c>
      <c r="G111" s="165">
        <v>0.55882352941176494</v>
      </c>
      <c r="H111" s="165">
        <v>0.365771812080537</v>
      </c>
      <c r="I111" s="165">
        <v>0.34482758620689702</v>
      </c>
      <c r="J111" s="166">
        <v>0.52134831460674202</v>
      </c>
      <c r="K111" s="168">
        <v>0.52134831460674202</v>
      </c>
      <c r="O111" s="161" t="s">
        <v>209</v>
      </c>
      <c r="P111" s="178">
        <v>6.25E-2</v>
      </c>
      <c r="Q111" s="172"/>
    </row>
    <row r="112" spans="1:17" x14ac:dyDescent="0.2">
      <c r="A112" s="161" t="s">
        <v>185</v>
      </c>
      <c r="B112" s="162" t="s">
        <v>42</v>
      </c>
      <c r="C112" s="161" t="s">
        <v>214</v>
      </c>
      <c r="D112" s="165">
        <v>1</v>
      </c>
      <c r="E112" s="165">
        <v>0.98891352549889111</v>
      </c>
      <c r="F112" s="165">
        <v>0.99092088197146599</v>
      </c>
      <c r="G112" s="165">
        <v>1</v>
      </c>
      <c r="H112" s="165">
        <v>0.98871331828442388</v>
      </c>
      <c r="I112" s="165">
        <v>1</v>
      </c>
      <c r="J112" s="166">
        <v>0.99092088197146599</v>
      </c>
      <c r="K112" s="168">
        <v>0.99092088197146599</v>
      </c>
      <c r="O112" s="174" t="s">
        <v>34</v>
      </c>
      <c r="P112" s="179">
        <v>35.17</v>
      </c>
      <c r="Q112" s="173">
        <v>38.158999999999999</v>
      </c>
    </row>
    <row r="113" spans="1:11" x14ac:dyDescent="0.2">
      <c r="A113" s="161" t="s">
        <v>185</v>
      </c>
      <c r="B113" s="162" t="s">
        <v>42</v>
      </c>
      <c r="C113" s="161" t="s">
        <v>192</v>
      </c>
      <c r="D113" s="165">
        <v>0.86231884057970998</v>
      </c>
      <c r="E113" s="165">
        <v>0.82022471910112404</v>
      </c>
      <c r="F113" s="165">
        <v>0.78202247191011198</v>
      </c>
      <c r="G113" s="165">
        <v>1</v>
      </c>
      <c r="H113" s="165">
        <v>0.82584269662921306</v>
      </c>
      <c r="I113" s="165">
        <v>1</v>
      </c>
      <c r="J113" s="166">
        <v>0.82921348314606702</v>
      </c>
      <c r="K113" s="168">
        <v>0.82921348314606702</v>
      </c>
    </row>
    <row r="114" spans="1:11" x14ac:dyDescent="0.2">
      <c r="A114" s="161" t="s">
        <v>185</v>
      </c>
      <c r="B114" s="162" t="s">
        <v>42</v>
      </c>
      <c r="C114" s="161" t="s">
        <v>173</v>
      </c>
      <c r="D114" s="165">
        <v>0.89690721649484506</v>
      </c>
      <c r="E114" s="165">
        <v>0.90397350993377501</v>
      </c>
      <c r="F114" s="165">
        <v>0.79952267303102598</v>
      </c>
      <c r="G114" s="165">
        <v>0.88636363636363602</v>
      </c>
      <c r="H114" s="165">
        <v>0.8940397350993381</v>
      </c>
      <c r="I114" s="165">
        <v>0.84090909090909094</v>
      </c>
      <c r="J114" s="166">
        <v>0.87112171837708796</v>
      </c>
      <c r="K114" s="168">
        <v>0.87112171837708796</v>
      </c>
    </row>
    <row r="115" spans="1:11" x14ac:dyDescent="0.2">
      <c r="A115" s="161" t="s">
        <v>185</v>
      </c>
      <c r="B115" s="162" t="s">
        <v>42</v>
      </c>
      <c r="C115" s="161" t="s">
        <v>11</v>
      </c>
      <c r="D115" s="159"/>
      <c r="E115" s="165">
        <v>0.39072847682119205</v>
      </c>
      <c r="F115" s="165">
        <v>0.75577557755775604</v>
      </c>
      <c r="G115" s="159"/>
      <c r="H115" s="165">
        <v>0.62582781456953596</v>
      </c>
      <c r="I115" s="159"/>
      <c r="J115" s="166">
        <v>0.91089108910891103</v>
      </c>
      <c r="K115" s="168">
        <v>0.91089108910891103</v>
      </c>
    </row>
    <row r="116" spans="1:11" x14ac:dyDescent="0.2">
      <c r="A116" s="161" t="s">
        <v>185</v>
      </c>
      <c r="B116" s="162" t="s">
        <v>42</v>
      </c>
      <c r="C116" s="171" t="s">
        <v>3</v>
      </c>
      <c r="D116" s="166">
        <v>0.85665969745418802</v>
      </c>
      <c r="E116" s="166">
        <v>0.49089803365092199</v>
      </c>
      <c r="F116" s="166">
        <v>0.54092545816090698</v>
      </c>
      <c r="G116" s="166">
        <v>0.682040711156918</v>
      </c>
      <c r="H116" s="166">
        <v>0.55363984674329503</v>
      </c>
      <c r="I116" s="166">
        <v>0.63581541688515997</v>
      </c>
      <c r="J116" s="166">
        <v>0.70226258934809493</v>
      </c>
      <c r="K116" s="168">
        <v>0.70226258934809493</v>
      </c>
    </row>
    <row r="117" spans="1:11" x14ac:dyDescent="0.2">
      <c r="A117" s="164" t="s">
        <v>34</v>
      </c>
      <c r="B117" s="163" t="s">
        <v>42</v>
      </c>
      <c r="C117" s="170"/>
      <c r="D117" s="167">
        <v>0.85665969745418802</v>
      </c>
      <c r="E117" s="167">
        <v>0.49089803365092199</v>
      </c>
      <c r="F117" s="167">
        <v>0.54092545816090698</v>
      </c>
      <c r="G117" s="167">
        <v>0.682040711156918</v>
      </c>
      <c r="H117" s="167">
        <v>0.55363984674329503</v>
      </c>
      <c r="I117" s="167">
        <v>0.63581541688515997</v>
      </c>
      <c r="J117" s="167">
        <v>0.70226258934809493</v>
      </c>
      <c r="K117" s="169">
        <v>0.70226258934809493</v>
      </c>
    </row>
  </sheetData>
  <phoneticPr fontId="19" type="noConversion"/>
  <pageMargins left="0.7" right="0.7" top="0.75" bottom="0.75" header="0.3" footer="0.3"/>
  <customProperties>
    <customPr name="_pios_id" r:id="rId1"/>
    <customPr name="CofWorksheetType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2.8.900.96586</Revision>
</Application>
</file>

<file path=customXml/itemProps1.xml><?xml version="1.0" encoding="utf-8"?>
<ds:datastoreItem xmlns:ds="http://schemas.openxmlformats.org/officeDocument/2006/customXml" ds:itemID="{E1E3EA64-1958-457C-97F1-97F8F11D8043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2</vt:i4>
      </vt:variant>
    </vt:vector>
  </HeadingPairs>
  <TitlesOfParts>
    <vt:vector size="9" baseType="lpstr">
      <vt:lpstr>Sheet1</vt:lpstr>
      <vt:lpstr>Sheet2</vt:lpstr>
      <vt:lpstr>Sheet3</vt:lpstr>
      <vt:lpstr>Sheet4</vt:lpstr>
      <vt:lpstr>基础表</vt:lpstr>
      <vt:lpstr>4</vt:lpstr>
      <vt:lpstr>Sheet5</vt:lpstr>
      <vt:lpstr>SAPCrosstab1</vt:lpstr>
      <vt:lpstr>SAPCrosstab2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1L1B 于军</dc:creator>
  <cp:lastModifiedBy>1L1B 于军</cp:lastModifiedBy>
  <dcterms:created xsi:type="dcterms:W3CDTF">2025-02-10T08:32:35Z</dcterms:created>
  <dcterms:modified xsi:type="dcterms:W3CDTF">2025-06-05T08:38:03Z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