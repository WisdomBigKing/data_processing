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桌面\会议报表\营运月会\专案\2505-香爆脆\"/>
    </mc:Choice>
  </mc:AlternateContent>
  <bookViews>
    <workbookView xWindow="0" yWindow="0" windowWidth="28800" windowHeight="12240" firstSheet="1" activeTab="2"/>
  </bookViews>
  <sheets>
    <sheet name="_com.sap.ip.bi.xl.hiddensheet" sheetId="11" state="veryHidden" r:id="rId1"/>
    <sheet name="1" sheetId="7" r:id="rId2"/>
    <sheet name="Sheet4" sheetId="16" r:id="rId3"/>
    <sheet name="部所排名" sheetId="6" r:id="rId4"/>
    <sheet name="基础表" sheetId="5" r:id="rId5"/>
    <sheet name="2" sheetId="2" r:id="rId6"/>
    <sheet name="4" sheetId="9" r:id="rId7"/>
    <sheet name="3" sheetId="12" r:id="rId8"/>
    <sheet name="Sheet1" sheetId="13" r:id="rId9"/>
    <sheet name="Sheet3" sheetId="15" r:id="rId10"/>
  </sheets>
  <definedNames>
    <definedName name="SAPCrosstab1">'3'!$A$3:$I$35</definedName>
    <definedName name="SAPCrosstab2">'2'!$A$3:$G$41</definedName>
    <definedName name="SAPCrosstab3">'4'!$A$3:$K$40</definedName>
    <definedName name="SAPCrosstab4">'3'!$K$3:$N$34</definedName>
    <definedName name="SAPCrosstab5">Sheet1!$B$1:$F$32</definedName>
    <definedName name="SAPCrosstab6">Sheet3!$B$1:$D$33</definedName>
  </definedNames>
  <calcPr calcId="162913" concurrentManualCount="8"/>
</workbook>
</file>

<file path=xl/calcChain.xml><?xml version="1.0" encoding="utf-8"?>
<calcChain xmlns="http://schemas.openxmlformats.org/spreadsheetml/2006/main">
  <c r="AN6" i="16" l="1"/>
  <c r="AP8" i="16"/>
  <c r="AQ8" i="16"/>
  <c r="AP34" i="16"/>
  <c r="AQ34" i="16"/>
  <c r="AP33" i="16"/>
  <c r="AQ33" i="16"/>
  <c r="AP32" i="16"/>
  <c r="AQ32" i="16"/>
  <c r="AP31" i="16"/>
  <c r="AQ31" i="16"/>
  <c r="AP30" i="16"/>
  <c r="AQ30" i="16"/>
  <c r="AP29" i="16"/>
  <c r="AQ29" i="16"/>
  <c r="AP28" i="16"/>
  <c r="AQ28" i="16"/>
  <c r="AP27" i="16"/>
  <c r="AQ27" i="16"/>
  <c r="AP26" i="16"/>
  <c r="AQ26" i="16"/>
  <c r="AP25" i="16"/>
  <c r="AQ25" i="16"/>
  <c r="AP24" i="16"/>
  <c r="AQ24" i="16"/>
  <c r="AP23" i="16"/>
  <c r="AQ23" i="16"/>
  <c r="AP22" i="16"/>
  <c r="AQ22" i="16"/>
  <c r="AP21" i="16"/>
  <c r="AQ21" i="16"/>
  <c r="AP20" i="16"/>
  <c r="AQ20" i="16"/>
  <c r="AP19" i="16"/>
  <c r="AQ19" i="16"/>
  <c r="AP18" i="16"/>
  <c r="AQ18" i="16"/>
  <c r="AP17" i="16"/>
  <c r="AQ17" i="16"/>
  <c r="AP16" i="16"/>
  <c r="AQ16" i="16"/>
  <c r="AP15" i="16"/>
  <c r="AQ15" i="16"/>
  <c r="AP14" i="16"/>
  <c r="AQ14" i="16"/>
  <c r="AP13" i="16"/>
  <c r="AQ13" i="16"/>
  <c r="AP12" i="16"/>
  <c r="AQ12" i="16"/>
  <c r="AP11" i="16"/>
  <c r="AQ11" i="16"/>
  <c r="AP10" i="16"/>
  <c r="AQ10" i="16"/>
  <c r="AP9" i="16"/>
  <c r="AQ9" i="16"/>
  <c r="AP7" i="16"/>
  <c r="AQ7" i="16"/>
  <c r="AP6" i="16"/>
  <c r="AQ6" i="16"/>
  <c r="AP5" i="16"/>
  <c r="AQ5" i="16"/>
  <c r="AP4" i="16"/>
  <c r="AQ4" i="16"/>
  <c r="B4" i="16"/>
  <c r="AJ3" i="16"/>
  <c r="AI3" i="16"/>
  <c r="AH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J2" i="16"/>
  <c r="AN34" i="7"/>
  <c r="AN33" i="7"/>
  <c r="AN32" i="7"/>
  <c r="AN31" i="7"/>
  <c r="AN30" i="7"/>
  <c r="AN29" i="7"/>
  <c r="AN28" i="7"/>
  <c r="AN27" i="7"/>
  <c r="AN26" i="7"/>
  <c r="AN25" i="7"/>
  <c r="AN24" i="7"/>
  <c r="AN23" i="7"/>
  <c r="AN22" i="7"/>
  <c r="AN21" i="7"/>
  <c r="AN20" i="7"/>
  <c r="AN19" i="7"/>
  <c r="AN18" i="7"/>
  <c r="AN17" i="7"/>
  <c r="AN16" i="7"/>
  <c r="AN15" i="7"/>
  <c r="AN14" i="7"/>
  <c r="AN13" i="7"/>
  <c r="AN11" i="7"/>
  <c r="AN10" i="7"/>
  <c r="AN8" i="7"/>
  <c r="AN7" i="7"/>
  <c r="AN6" i="7"/>
  <c r="AN5" i="7"/>
  <c r="AN4" i="7"/>
  <c r="AL34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L19" i="7"/>
  <c r="AL18" i="7"/>
  <c r="AL17" i="7"/>
  <c r="AL16" i="7"/>
  <c r="AL15" i="7"/>
  <c r="AL14" i="7"/>
  <c r="AL13" i="7"/>
  <c r="AL11" i="7"/>
  <c r="AL10" i="7"/>
  <c r="AL8" i="7"/>
  <c r="AL7" i="7"/>
  <c r="AL6" i="7"/>
  <c r="AL5" i="7"/>
  <c r="AM34" i="7"/>
  <c r="AM33" i="7"/>
  <c r="AM32" i="7"/>
  <c r="AM31" i="7"/>
  <c r="AM30" i="7"/>
  <c r="AM29" i="7"/>
  <c r="AM28" i="7"/>
  <c r="AM27" i="7"/>
  <c r="AM26" i="7"/>
  <c r="AM25" i="7"/>
  <c r="AM24" i="7"/>
  <c r="AM23" i="7"/>
  <c r="AM22" i="7"/>
  <c r="AM21" i="7"/>
  <c r="AM20" i="7"/>
  <c r="AM19" i="7"/>
  <c r="AM18" i="7"/>
  <c r="AM17" i="7"/>
  <c r="AM16" i="7"/>
  <c r="AM15" i="7"/>
  <c r="AM14" i="7"/>
  <c r="AM13" i="7"/>
  <c r="AM12" i="7"/>
  <c r="AM11" i="7"/>
  <c r="AM10" i="7"/>
  <c r="AM9" i="7"/>
  <c r="AM8" i="7"/>
  <c r="AM7" i="7"/>
  <c r="AM6" i="7"/>
  <c r="AM5" i="7"/>
  <c r="AM4" i="7"/>
  <c r="A32" i="15"/>
  <c r="A25" i="15"/>
  <c r="A17" i="15"/>
  <c r="A9" i="15"/>
  <c r="A3" i="15"/>
  <c r="A4" i="15"/>
  <c r="A5" i="15"/>
  <c r="A6" i="15"/>
  <c r="A7" i="15"/>
  <c r="A8" i="15"/>
  <c r="A10" i="15"/>
  <c r="A11" i="15"/>
  <c r="A12" i="15"/>
  <c r="A13" i="15"/>
  <c r="A14" i="15"/>
  <c r="A15" i="15"/>
  <c r="A16" i="15"/>
  <c r="A18" i="15"/>
  <c r="A19" i="15"/>
  <c r="A20" i="15"/>
  <c r="A21" i="15"/>
  <c r="A22" i="15"/>
  <c r="A23" i="15"/>
  <c r="A24" i="15"/>
  <c r="A26" i="15"/>
  <c r="A27" i="15"/>
  <c r="A28" i="15"/>
  <c r="A29" i="15"/>
  <c r="A30" i="15"/>
  <c r="A31" i="15"/>
  <c r="A2" i="15"/>
  <c r="AK28" i="7"/>
  <c r="AK20" i="7"/>
  <c r="AK11" i="7"/>
  <c r="AK4" i="7"/>
  <c r="A29" i="13"/>
  <c r="A22" i="13"/>
  <c r="A14" i="13"/>
  <c r="A8" i="13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5" i="5"/>
  <c r="AJ4" i="5"/>
  <c r="AI4" i="5"/>
  <c r="AG32" i="6"/>
  <c r="AJ32" i="7"/>
  <c r="AF32" i="6"/>
  <c r="AI32" i="7"/>
  <c r="AE32" i="6"/>
  <c r="AH32" i="7"/>
  <c r="AD32" i="6"/>
  <c r="AD32" i="7"/>
  <c r="AC32" i="6"/>
  <c r="AC32" i="7"/>
  <c r="AB32" i="6"/>
  <c r="AB32" i="7"/>
  <c r="AA32" i="6"/>
  <c r="AA32" i="7"/>
  <c r="Z32" i="6"/>
  <c r="Z32" i="7"/>
  <c r="AQ32" i="7"/>
  <c r="Y32" i="6"/>
  <c r="Y32" i="7"/>
  <c r="X32" i="6"/>
  <c r="X32" i="7"/>
  <c r="W32" i="6"/>
  <c r="W32" i="7"/>
  <c r="V32" i="6"/>
  <c r="V32" i="7"/>
  <c r="U32" i="6"/>
  <c r="T32" i="7"/>
  <c r="T32" i="6"/>
  <c r="R32" i="7"/>
  <c r="S32" i="6"/>
  <c r="O32" i="7"/>
  <c r="R32" i="6"/>
  <c r="S32" i="7"/>
  <c r="AP32" i="7"/>
  <c r="Q32" i="6"/>
  <c r="P32" i="7"/>
  <c r="P32" i="6"/>
  <c r="U32" i="7"/>
  <c r="O32" i="6"/>
  <c r="N32" i="6"/>
  <c r="N32" i="7"/>
  <c r="M32" i="6"/>
  <c r="M32" i="7"/>
  <c r="L32" i="6"/>
  <c r="L32" i="7"/>
  <c r="K32" i="6"/>
  <c r="K32" i="7"/>
  <c r="J32" i="6"/>
  <c r="J32" i="7"/>
  <c r="I32" i="6"/>
  <c r="I32" i="7"/>
  <c r="H32" i="6"/>
  <c r="H32" i="7"/>
  <c r="G32" i="6"/>
  <c r="G32" i="7"/>
  <c r="F32" i="6"/>
  <c r="F32" i="7"/>
  <c r="E32" i="6"/>
  <c r="E32" i="7"/>
  <c r="D32" i="6"/>
  <c r="D32" i="7"/>
  <c r="C32" i="6"/>
  <c r="AJ32" i="6"/>
  <c r="C34" i="5"/>
  <c r="D34" i="5"/>
  <c r="V3" i="7"/>
  <c r="U3" i="7"/>
  <c r="T3" i="7"/>
  <c r="S3" i="7"/>
  <c r="R3" i="7"/>
  <c r="Q3" i="7"/>
  <c r="P3" i="7"/>
  <c r="O3" i="7"/>
  <c r="AG4" i="7"/>
  <c r="AF4" i="7"/>
  <c r="AE4" i="7"/>
  <c r="E52" i="9"/>
  <c r="Z5" i="5"/>
  <c r="AJ4" i="6"/>
  <c r="AI4" i="6"/>
  <c r="AH4" i="6"/>
  <c r="AS33" i="5"/>
  <c r="AR33" i="5"/>
  <c r="AS32" i="5"/>
  <c r="AR32" i="5"/>
  <c r="AS31" i="5"/>
  <c r="AR31" i="5"/>
  <c r="AS30" i="5"/>
  <c r="AR30" i="5"/>
  <c r="AS29" i="5"/>
  <c r="AR29" i="5"/>
  <c r="AS28" i="5"/>
  <c r="AR28" i="5"/>
  <c r="AS27" i="5"/>
  <c r="AR27" i="5"/>
  <c r="AS26" i="5"/>
  <c r="AR26" i="5"/>
  <c r="AS25" i="5"/>
  <c r="AR25" i="5"/>
  <c r="AS24" i="5"/>
  <c r="AR24" i="5"/>
  <c r="AS23" i="5"/>
  <c r="AR23" i="5"/>
  <c r="AS22" i="5"/>
  <c r="AR22" i="5"/>
  <c r="AS21" i="5"/>
  <c r="AR21" i="5"/>
  <c r="AS20" i="5"/>
  <c r="AR20" i="5"/>
  <c r="AS19" i="5"/>
  <c r="AR19" i="5"/>
  <c r="AS18" i="5"/>
  <c r="AR18" i="5"/>
  <c r="AS17" i="5"/>
  <c r="AR17" i="5"/>
  <c r="AS16" i="5"/>
  <c r="AR16" i="5"/>
  <c r="AS15" i="5"/>
  <c r="AR15" i="5"/>
  <c r="AS14" i="5"/>
  <c r="AR14" i="5"/>
  <c r="AS13" i="5"/>
  <c r="AR13" i="5"/>
  <c r="AS12" i="5"/>
  <c r="AR12" i="5"/>
  <c r="AS11" i="5"/>
  <c r="AR11" i="5"/>
  <c r="AS10" i="5"/>
  <c r="AR10" i="5"/>
  <c r="AS9" i="5"/>
  <c r="AR9" i="5"/>
  <c r="AS8" i="5"/>
  <c r="AR8" i="5"/>
  <c r="AS7" i="5"/>
  <c r="AR7" i="5"/>
  <c r="AS6" i="5"/>
  <c r="AR6" i="5"/>
  <c r="AS5" i="5"/>
  <c r="AR5" i="5"/>
  <c r="AS4" i="5"/>
  <c r="AR4" i="5"/>
  <c r="AQ33" i="5"/>
  <c r="AQ32" i="5"/>
  <c r="AQ31" i="5"/>
  <c r="AQ30" i="5"/>
  <c r="AQ29" i="5"/>
  <c r="AQ28" i="5"/>
  <c r="AQ27" i="5"/>
  <c r="AQ26" i="5"/>
  <c r="AQ25" i="5"/>
  <c r="AQ24" i="5"/>
  <c r="AQ23" i="5"/>
  <c r="AQ22" i="5"/>
  <c r="AQ21" i="5"/>
  <c r="AQ20" i="5"/>
  <c r="AQ19" i="5"/>
  <c r="AQ18" i="5"/>
  <c r="AQ17" i="5"/>
  <c r="AQ16" i="5"/>
  <c r="AQ15" i="5"/>
  <c r="AQ14" i="5"/>
  <c r="AQ13" i="5"/>
  <c r="AQ12" i="5"/>
  <c r="AQ11" i="5"/>
  <c r="AQ10" i="5"/>
  <c r="AQ9" i="5"/>
  <c r="AQ8" i="5"/>
  <c r="AQ7" i="5"/>
  <c r="AQ5" i="5"/>
  <c r="AQ4" i="5"/>
  <c r="AG31" i="6"/>
  <c r="AJ31" i="7"/>
  <c r="AG10" i="6"/>
  <c r="AJ10" i="7"/>
  <c r="AI33" i="5"/>
  <c r="AG21" i="6"/>
  <c r="AJ21" i="7"/>
  <c r="AG15" i="6"/>
  <c r="AJ15" i="7"/>
  <c r="AG28" i="6"/>
  <c r="AJ28" i="7"/>
  <c r="AG26" i="6"/>
  <c r="AJ26" i="7"/>
  <c r="AI12" i="5"/>
  <c r="AG5" i="6"/>
  <c r="AJ5" i="7"/>
  <c r="AI26" i="5"/>
  <c r="AI20" i="5"/>
  <c r="M35" i="5"/>
  <c r="M12" i="5"/>
  <c r="M20" i="5"/>
  <c r="M26" i="5"/>
  <c r="M33" i="5"/>
  <c r="M4" i="5"/>
  <c r="AG35" i="5"/>
  <c r="Y35" i="5"/>
  <c r="AF35" i="5"/>
  <c r="X35" i="5"/>
  <c r="AE35" i="5"/>
  <c r="W35" i="5"/>
  <c r="AD35" i="5"/>
  <c r="V35" i="5"/>
  <c r="AC35" i="5"/>
  <c r="U35" i="5"/>
  <c r="AB35" i="5"/>
  <c r="T35" i="5"/>
  <c r="AA35" i="5"/>
  <c r="S35" i="5"/>
  <c r="Z35" i="5"/>
  <c r="R35" i="5"/>
  <c r="M34" i="5"/>
  <c r="AF34" i="5"/>
  <c r="X34" i="5"/>
  <c r="AG34" i="5"/>
  <c r="AE34" i="5"/>
  <c r="AD34" i="5"/>
  <c r="V34" i="5"/>
  <c r="AC34" i="5"/>
  <c r="U34" i="5"/>
  <c r="AB34" i="5"/>
  <c r="T34" i="5"/>
  <c r="AA34" i="5"/>
  <c r="S34" i="5"/>
  <c r="Z34" i="5"/>
  <c r="R34" i="5"/>
  <c r="AG33" i="5"/>
  <c r="Y33" i="5"/>
  <c r="V7" i="6"/>
  <c r="V7" i="7"/>
  <c r="AF33" i="5"/>
  <c r="X33" i="5"/>
  <c r="AE33" i="5"/>
  <c r="W33" i="5"/>
  <c r="AD33" i="5"/>
  <c r="V33" i="5"/>
  <c r="AC33" i="5"/>
  <c r="U33" i="5"/>
  <c r="AB33" i="5"/>
  <c r="T33" i="5"/>
  <c r="AA33" i="5"/>
  <c r="S33" i="5"/>
  <c r="Z33" i="5"/>
  <c r="R33" i="5"/>
  <c r="M32" i="5"/>
  <c r="AG32" i="5"/>
  <c r="Y32" i="5"/>
  <c r="AF32" i="5"/>
  <c r="AE32" i="5"/>
  <c r="W32" i="5"/>
  <c r="AD32" i="5"/>
  <c r="V32" i="5"/>
  <c r="AC32" i="5"/>
  <c r="U32" i="5"/>
  <c r="AB32" i="5"/>
  <c r="T32" i="5"/>
  <c r="AA32" i="5"/>
  <c r="S32" i="5"/>
  <c r="Z32" i="5"/>
  <c r="R32" i="5"/>
  <c r="M31" i="5"/>
  <c r="AG31" i="5"/>
  <c r="Y31" i="5"/>
  <c r="AF31" i="5"/>
  <c r="X31" i="5"/>
  <c r="AE31" i="5"/>
  <c r="W31" i="5"/>
  <c r="AD31" i="5"/>
  <c r="V31" i="5"/>
  <c r="S11" i="6"/>
  <c r="O11" i="7"/>
  <c r="AC31" i="5"/>
  <c r="U31" i="5"/>
  <c r="AB31" i="5"/>
  <c r="T31" i="5"/>
  <c r="AA31" i="5"/>
  <c r="S31" i="5"/>
  <c r="Z31" i="5"/>
  <c r="R31" i="5"/>
  <c r="M30" i="5"/>
  <c r="AG30" i="5"/>
  <c r="Y30" i="5"/>
  <c r="AF30" i="5"/>
  <c r="X30" i="5"/>
  <c r="AE30" i="5"/>
  <c r="W30" i="5"/>
  <c r="AD30" i="5"/>
  <c r="V30" i="5"/>
  <c r="AC30" i="5"/>
  <c r="U30" i="5"/>
  <c r="AB30" i="5"/>
  <c r="T30" i="5"/>
  <c r="AA30" i="5"/>
  <c r="S30" i="5"/>
  <c r="Z30" i="5"/>
  <c r="R30" i="5"/>
  <c r="M29" i="5"/>
  <c r="AG29" i="5"/>
  <c r="Y29" i="5"/>
  <c r="AF29" i="5"/>
  <c r="X29" i="5"/>
  <c r="AE29" i="5"/>
  <c r="W29" i="5"/>
  <c r="AD29" i="5"/>
  <c r="V29" i="5"/>
  <c r="AC29" i="5"/>
  <c r="U29" i="5"/>
  <c r="AB29" i="5"/>
  <c r="T29" i="5"/>
  <c r="AA29" i="5"/>
  <c r="S29" i="5"/>
  <c r="Z29" i="5"/>
  <c r="R29" i="5"/>
  <c r="M28" i="5"/>
  <c r="AE28" i="5"/>
  <c r="W28" i="5"/>
  <c r="AG28" i="5"/>
  <c r="Y28" i="5"/>
  <c r="AF28" i="5"/>
  <c r="AD28" i="5"/>
  <c r="V28" i="5"/>
  <c r="AC28" i="5"/>
  <c r="U28" i="5"/>
  <c r="AB28" i="5"/>
  <c r="T28" i="5"/>
  <c r="AA28" i="5"/>
  <c r="Z28" i="5"/>
  <c r="R28" i="5"/>
  <c r="M27" i="5"/>
  <c r="AG27" i="5"/>
  <c r="AF27" i="5"/>
  <c r="X27" i="5"/>
  <c r="AE27" i="5"/>
  <c r="W27" i="5"/>
  <c r="AD27" i="5"/>
  <c r="V27" i="5"/>
  <c r="AC27" i="5"/>
  <c r="U27" i="5"/>
  <c r="R29" i="6"/>
  <c r="S29" i="7"/>
  <c r="AB27" i="5"/>
  <c r="T27" i="5"/>
  <c r="AA27" i="5"/>
  <c r="S27" i="5"/>
  <c r="Z27" i="5"/>
  <c r="AF26" i="5"/>
  <c r="X26" i="5"/>
  <c r="AG26" i="5"/>
  <c r="AE26" i="5"/>
  <c r="W26" i="5"/>
  <c r="AD26" i="5"/>
  <c r="V26" i="5"/>
  <c r="AC26" i="5"/>
  <c r="U26" i="5"/>
  <c r="AB26" i="5"/>
  <c r="T26" i="5"/>
  <c r="AA26" i="5"/>
  <c r="S26" i="5"/>
  <c r="Z26" i="5"/>
  <c r="R26" i="5"/>
  <c r="M25" i="5"/>
  <c r="AG25" i="5"/>
  <c r="Y25" i="5"/>
  <c r="AF25" i="5"/>
  <c r="X25" i="5"/>
  <c r="AE25" i="5"/>
  <c r="W25" i="5"/>
  <c r="AD25" i="5"/>
  <c r="V25" i="5"/>
  <c r="AC25" i="5"/>
  <c r="U25" i="5"/>
  <c r="AB25" i="5"/>
  <c r="T25" i="5"/>
  <c r="AA25" i="5"/>
  <c r="S25" i="5"/>
  <c r="Z25" i="5"/>
  <c r="R25" i="5"/>
  <c r="M24" i="5"/>
  <c r="AG24" i="5"/>
  <c r="Y24" i="5"/>
  <c r="AF24" i="5"/>
  <c r="AE24" i="5"/>
  <c r="W24" i="5"/>
  <c r="AD24" i="5"/>
  <c r="V24" i="5"/>
  <c r="AC24" i="5"/>
  <c r="AB24" i="5"/>
  <c r="T24" i="5"/>
  <c r="AA24" i="5"/>
  <c r="S24" i="5"/>
  <c r="Z24" i="5"/>
  <c r="R24" i="5"/>
  <c r="M23" i="5"/>
  <c r="AG23" i="5"/>
  <c r="Y23" i="5"/>
  <c r="AF23" i="5"/>
  <c r="X23" i="5"/>
  <c r="AE23" i="5"/>
  <c r="W23" i="5"/>
  <c r="AD23" i="5"/>
  <c r="V23" i="5"/>
  <c r="AC23" i="5"/>
  <c r="U23" i="5"/>
  <c r="AB23" i="5"/>
  <c r="T23" i="5"/>
  <c r="AA23" i="5"/>
  <c r="S23" i="5"/>
  <c r="Z23" i="5"/>
  <c r="R23" i="5"/>
  <c r="M22" i="5"/>
  <c r="AG22" i="5"/>
  <c r="Y22" i="5"/>
  <c r="AF22" i="5"/>
  <c r="X22" i="5"/>
  <c r="AE22" i="5"/>
  <c r="W22" i="5"/>
  <c r="AD22" i="5"/>
  <c r="V22" i="5"/>
  <c r="AC22" i="5"/>
  <c r="U22" i="5"/>
  <c r="AB22" i="5"/>
  <c r="T22" i="5"/>
  <c r="AA22" i="5"/>
  <c r="S22" i="5"/>
  <c r="Z22" i="5"/>
  <c r="R22" i="5"/>
  <c r="M21" i="5"/>
  <c r="AG21" i="5"/>
  <c r="Y21" i="5"/>
  <c r="AF21" i="5"/>
  <c r="X21" i="5"/>
  <c r="AE21" i="5"/>
  <c r="W21" i="5"/>
  <c r="AD21" i="5"/>
  <c r="V21" i="5"/>
  <c r="AC21" i="5"/>
  <c r="U21" i="5"/>
  <c r="R20" i="6"/>
  <c r="S20" i="7"/>
  <c r="AB21" i="5"/>
  <c r="T21" i="5"/>
  <c r="AA21" i="5"/>
  <c r="S21" i="5"/>
  <c r="Z21" i="5"/>
  <c r="R21" i="5"/>
  <c r="O20" i="6"/>
  <c r="Q20" i="7"/>
  <c r="AG20" i="5"/>
  <c r="Y20" i="5"/>
  <c r="AF20" i="5"/>
  <c r="X20" i="5"/>
  <c r="AE20" i="5"/>
  <c r="W20" i="5"/>
  <c r="AD20" i="5"/>
  <c r="V20" i="5"/>
  <c r="AC20" i="5"/>
  <c r="U20" i="5"/>
  <c r="AB20" i="5"/>
  <c r="T20" i="5"/>
  <c r="AA20" i="5"/>
  <c r="S20" i="5"/>
  <c r="Z20" i="5"/>
  <c r="R20" i="5"/>
  <c r="M19" i="5"/>
  <c r="AD19" i="5"/>
  <c r="V19" i="5"/>
  <c r="AG19" i="5"/>
  <c r="AF19" i="5"/>
  <c r="X19" i="5"/>
  <c r="AE19" i="5"/>
  <c r="W19" i="5"/>
  <c r="AC19" i="5"/>
  <c r="AB19" i="5"/>
  <c r="T19" i="5"/>
  <c r="AA19" i="5"/>
  <c r="S19" i="5"/>
  <c r="Z19" i="5"/>
  <c r="M18" i="5"/>
  <c r="AF18" i="5"/>
  <c r="X18" i="5"/>
  <c r="AG18" i="5"/>
  <c r="Y18" i="5"/>
  <c r="AE18" i="5"/>
  <c r="W18" i="5"/>
  <c r="AD18" i="5"/>
  <c r="V18" i="5"/>
  <c r="S12" i="6"/>
  <c r="AC18" i="5"/>
  <c r="AB18" i="5"/>
  <c r="AA18" i="5"/>
  <c r="S18" i="5"/>
  <c r="Z18" i="5"/>
  <c r="R18" i="5"/>
  <c r="M17" i="5"/>
  <c r="AG17" i="5"/>
  <c r="Y17" i="5"/>
  <c r="AF17" i="5"/>
  <c r="X17" i="5"/>
  <c r="AE17" i="5"/>
  <c r="W17" i="5"/>
  <c r="AD17" i="5"/>
  <c r="V17" i="5"/>
  <c r="AC17" i="5"/>
  <c r="U17" i="5"/>
  <c r="AB17" i="5"/>
  <c r="T17" i="5"/>
  <c r="AA17" i="5"/>
  <c r="S17" i="5"/>
  <c r="Z17" i="5"/>
  <c r="M16" i="5"/>
  <c r="AG16" i="5"/>
  <c r="Y16" i="5"/>
  <c r="AF16" i="5"/>
  <c r="AE16" i="5"/>
  <c r="W16" i="5"/>
  <c r="AD16" i="5"/>
  <c r="V16" i="5"/>
  <c r="AC16" i="5"/>
  <c r="AB16" i="5"/>
  <c r="T16" i="5"/>
  <c r="AA16" i="5"/>
  <c r="S16" i="5"/>
  <c r="Z16" i="5"/>
  <c r="R16" i="5"/>
  <c r="O14" i="6"/>
  <c r="Q14" i="7"/>
  <c r="M15" i="5"/>
  <c r="AG15" i="5"/>
  <c r="Y15" i="5"/>
  <c r="AF15" i="5"/>
  <c r="X15" i="5"/>
  <c r="AE15" i="5"/>
  <c r="W15" i="5"/>
  <c r="AD15" i="5"/>
  <c r="V15" i="5"/>
  <c r="AC15" i="5"/>
  <c r="U15" i="5"/>
  <c r="AB15" i="5"/>
  <c r="T15" i="5"/>
  <c r="AA15" i="5"/>
  <c r="S15" i="5"/>
  <c r="Z15" i="5"/>
  <c r="R15" i="5"/>
  <c r="M14" i="5"/>
  <c r="AG14" i="5"/>
  <c r="Y14" i="5"/>
  <c r="AF14" i="5"/>
  <c r="X14" i="5"/>
  <c r="AE14" i="5"/>
  <c r="W14" i="5"/>
  <c r="AD14" i="5"/>
  <c r="V14" i="5"/>
  <c r="AC14" i="5"/>
  <c r="U14" i="5"/>
  <c r="AB14" i="5"/>
  <c r="T14" i="5"/>
  <c r="AA14" i="5"/>
  <c r="S14" i="5"/>
  <c r="Z14" i="5"/>
  <c r="R14" i="5"/>
  <c r="O26" i="6"/>
  <c r="Q26" i="7"/>
  <c r="M13" i="5"/>
  <c r="AG13" i="5"/>
  <c r="Y13" i="5"/>
  <c r="AF13" i="5"/>
  <c r="X13" i="5"/>
  <c r="AE13" i="5"/>
  <c r="W13" i="5"/>
  <c r="AD13" i="5"/>
  <c r="V13" i="5"/>
  <c r="AC13" i="5"/>
  <c r="U13" i="5"/>
  <c r="AB13" i="5"/>
  <c r="T13" i="5"/>
  <c r="AA13" i="5"/>
  <c r="S13" i="5"/>
  <c r="Z13" i="5"/>
  <c r="R13" i="5"/>
  <c r="AG12" i="5"/>
  <c r="Y12" i="5"/>
  <c r="AF12" i="5"/>
  <c r="AE12" i="5"/>
  <c r="W12" i="5"/>
  <c r="AD12" i="5"/>
  <c r="V12" i="5"/>
  <c r="AC12" i="5"/>
  <c r="U12" i="5"/>
  <c r="AB12" i="5"/>
  <c r="T12" i="5"/>
  <c r="AA12" i="5"/>
  <c r="Z12" i="5"/>
  <c r="M11" i="5"/>
  <c r="AG11" i="5"/>
  <c r="AF11" i="5"/>
  <c r="X11" i="5"/>
  <c r="AE11" i="5"/>
  <c r="W11" i="5"/>
  <c r="AD11" i="5"/>
  <c r="V11" i="5"/>
  <c r="AC11" i="5"/>
  <c r="U11" i="5"/>
  <c r="AB11" i="5"/>
  <c r="T11" i="5"/>
  <c r="AA11" i="5"/>
  <c r="S11" i="5"/>
  <c r="Z11" i="5"/>
  <c r="R11" i="5"/>
  <c r="M10" i="5"/>
  <c r="AF10" i="5"/>
  <c r="AG10" i="5"/>
  <c r="Y10" i="5"/>
  <c r="AE10" i="5"/>
  <c r="AD10" i="5"/>
  <c r="V10" i="5"/>
  <c r="AC10" i="5"/>
  <c r="AB10" i="5"/>
  <c r="T10" i="5"/>
  <c r="AA10" i="5"/>
  <c r="S10" i="5"/>
  <c r="Z10" i="5"/>
  <c r="M9" i="5"/>
  <c r="AG9" i="5"/>
  <c r="Y9" i="5"/>
  <c r="AF9" i="5"/>
  <c r="X9" i="5"/>
  <c r="AE9" i="5"/>
  <c r="W9" i="5"/>
  <c r="T25" i="6"/>
  <c r="R25" i="7"/>
  <c r="AD9" i="5"/>
  <c r="V9" i="5"/>
  <c r="AC9" i="5"/>
  <c r="U9" i="5"/>
  <c r="AB9" i="5"/>
  <c r="Y25" i="6"/>
  <c r="Y25" i="7"/>
  <c r="AA9" i="5"/>
  <c r="S9" i="5"/>
  <c r="Z9" i="5"/>
  <c r="R9" i="5"/>
  <c r="M8" i="5"/>
  <c r="AG8" i="5"/>
  <c r="Y8" i="5"/>
  <c r="AF8" i="5"/>
  <c r="AE8" i="5"/>
  <c r="AD8" i="5"/>
  <c r="V8" i="5"/>
  <c r="AC8" i="5"/>
  <c r="AB8" i="5"/>
  <c r="T8" i="5"/>
  <c r="AA8" i="5"/>
  <c r="S8" i="5"/>
  <c r="Z8" i="5"/>
  <c r="R8" i="5"/>
  <c r="M7" i="5"/>
  <c r="AG7" i="5"/>
  <c r="Y7" i="5"/>
  <c r="AF7" i="5"/>
  <c r="X7" i="5"/>
  <c r="AE7" i="5"/>
  <c r="W7" i="5"/>
  <c r="AD7" i="5"/>
  <c r="AC7" i="5"/>
  <c r="U7" i="5"/>
  <c r="AB7" i="5"/>
  <c r="T7" i="5"/>
  <c r="AA7" i="5"/>
  <c r="Z7" i="5"/>
  <c r="R7" i="5"/>
  <c r="M6" i="5"/>
  <c r="AG6" i="5"/>
  <c r="Y6" i="5"/>
  <c r="AF6" i="5"/>
  <c r="X6" i="5"/>
  <c r="AE6" i="5"/>
  <c r="AD6" i="5"/>
  <c r="AC6" i="5"/>
  <c r="U6" i="5"/>
  <c r="AB6" i="5"/>
  <c r="AA6" i="5"/>
  <c r="Z6" i="5"/>
  <c r="R6" i="5"/>
  <c r="O9" i="6"/>
  <c r="M5" i="5"/>
  <c r="AG5" i="5"/>
  <c r="AF5" i="5"/>
  <c r="X5" i="5"/>
  <c r="AE5" i="5"/>
  <c r="W5" i="5"/>
  <c r="AD5" i="5"/>
  <c r="AC5" i="5"/>
  <c r="AB5" i="5"/>
  <c r="T5" i="5"/>
  <c r="AA5" i="5"/>
  <c r="S5" i="5"/>
  <c r="AG4" i="5"/>
  <c r="AF4" i="5"/>
  <c r="AC4" i="6"/>
  <c r="AC4" i="7"/>
  <c r="AE4" i="5"/>
  <c r="AB4" i="6"/>
  <c r="AB4" i="7"/>
  <c r="AD4" i="5"/>
  <c r="V4" i="5"/>
  <c r="S4" i="6"/>
  <c r="O4" i="7"/>
  <c r="AC4" i="5"/>
  <c r="U4" i="5"/>
  <c r="R4" i="6"/>
  <c r="AB4" i="5"/>
  <c r="Y4" i="6"/>
  <c r="Y4" i="7"/>
  <c r="AA4" i="5"/>
  <c r="S4" i="5"/>
  <c r="P4" i="6"/>
  <c r="Z4" i="5"/>
  <c r="R4" i="5"/>
  <c r="O4" i="6"/>
  <c r="AP33" i="5"/>
  <c r="AO33" i="5"/>
  <c r="AN33" i="5"/>
  <c r="AM33" i="5"/>
  <c r="AL33" i="5"/>
  <c r="AK33" i="5"/>
  <c r="AP32" i="5"/>
  <c r="AO32" i="5"/>
  <c r="AN32" i="5"/>
  <c r="AM32" i="5"/>
  <c r="AL32" i="5"/>
  <c r="AK32" i="5"/>
  <c r="AP31" i="5"/>
  <c r="AO31" i="5"/>
  <c r="AN31" i="5"/>
  <c r="AM31" i="5"/>
  <c r="AL31" i="5"/>
  <c r="AK31" i="5"/>
  <c r="AP30" i="5"/>
  <c r="AO30" i="5"/>
  <c r="AN30" i="5"/>
  <c r="AM30" i="5"/>
  <c r="AL30" i="5"/>
  <c r="AK30" i="5"/>
  <c r="AP29" i="5"/>
  <c r="AO29" i="5"/>
  <c r="AN29" i="5"/>
  <c r="AM29" i="5"/>
  <c r="AL29" i="5"/>
  <c r="AK29" i="5"/>
  <c r="AP28" i="5"/>
  <c r="AO28" i="5"/>
  <c r="AN28" i="5"/>
  <c r="AM28" i="5"/>
  <c r="AL28" i="5"/>
  <c r="AK28" i="5"/>
  <c r="AP27" i="5"/>
  <c r="AO27" i="5"/>
  <c r="AN27" i="5"/>
  <c r="AM27" i="5"/>
  <c r="AL27" i="5"/>
  <c r="AK27" i="5"/>
  <c r="AP26" i="5"/>
  <c r="AO26" i="5"/>
  <c r="AN26" i="5"/>
  <c r="AM26" i="5"/>
  <c r="AL26" i="5"/>
  <c r="AK26" i="5"/>
  <c r="AP25" i="5"/>
  <c r="AO25" i="5"/>
  <c r="AN25" i="5"/>
  <c r="AM25" i="5"/>
  <c r="AL25" i="5"/>
  <c r="AK25" i="5"/>
  <c r="AP24" i="5"/>
  <c r="AO24" i="5"/>
  <c r="AN24" i="5"/>
  <c r="AM24" i="5"/>
  <c r="AL24" i="5"/>
  <c r="AK24" i="5"/>
  <c r="AP23" i="5"/>
  <c r="AO23" i="5"/>
  <c r="AN23" i="5"/>
  <c r="AM23" i="5"/>
  <c r="Q5" i="5"/>
  <c r="D5" i="5"/>
  <c r="Q6" i="5"/>
  <c r="D6" i="5"/>
  <c r="Q7" i="5"/>
  <c r="D7" i="5"/>
  <c r="Q8" i="5"/>
  <c r="D8" i="5"/>
  <c r="Q9" i="5"/>
  <c r="D9" i="5"/>
  <c r="Q10" i="5"/>
  <c r="D10" i="5"/>
  <c r="Q11" i="5"/>
  <c r="D11" i="5"/>
  <c r="Q13" i="5"/>
  <c r="D13" i="5"/>
  <c r="Q14" i="5"/>
  <c r="D14" i="5"/>
  <c r="Q15" i="5"/>
  <c r="D15" i="5"/>
  <c r="Q16" i="5"/>
  <c r="D16" i="5"/>
  <c r="Q17" i="5"/>
  <c r="D17" i="5"/>
  <c r="Q18" i="5"/>
  <c r="D18" i="5"/>
  <c r="Q19" i="5"/>
  <c r="D19" i="5"/>
  <c r="Q21" i="5"/>
  <c r="D21" i="5"/>
  <c r="Q22" i="5"/>
  <c r="D22" i="5"/>
  <c r="Q23" i="5"/>
  <c r="D23" i="5"/>
  <c r="Q24" i="5"/>
  <c r="D24" i="5"/>
  <c r="Q25" i="5"/>
  <c r="D25" i="5"/>
  <c r="Q27" i="5"/>
  <c r="D27" i="5"/>
  <c r="Q28" i="5"/>
  <c r="D28" i="5"/>
  <c r="Q29" i="5"/>
  <c r="D29" i="5"/>
  <c r="Q30" i="5"/>
  <c r="D30" i="5"/>
  <c r="Q31" i="5"/>
  <c r="D31" i="5"/>
  <c r="Q32" i="5"/>
  <c r="D32" i="5"/>
  <c r="C17" i="5"/>
  <c r="N4" i="5"/>
  <c r="P4" i="5"/>
  <c r="Q4" i="5"/>
  <c r="N5" i="5"/>
  <c r="O5" i="5"/>
  <c r="P5" i="5"/>
  <c r="N6" i="5"/>
  <c r="O6" i="5"/>
  <c r="P6" i="5"/>
  <c r="N7" i="5"/>
  <c r="O7" i="5"/>
  <c r="P7" i="5"/>
  <c r="N8" i="5"/>
  <c r="O8" i="5"/>
  <c r="P8" i="5"/>
  <c r="N9" i="5"/>
  <c r="O9" i="5"/>
  <c r="P9" i="5"/>
  <c r="N10" i="5"/>
  <c r="O10" i="5"/>
  <c r="P10" i="5"/>
  <c r="N11" i="5"/>
  <c r="P11" i="5"/>
  <c r="N12" i="5"/>
  <c r="O12" i="5"/>
  <c r="P12" i="5"/>
  <c r="Q12" i="5"/>
  <c r="N13" i="5"/>
  <c r="O13" i="5"/>
  <c r="P13" i="5"/>
  <c r="N14" i="5"/>
  <c r="O14" i="5"/>
  <c r="P14" i="5"/>
  <c r="N15" i="5"/>
  <c r="O15" i="5"/>
  <c r="P15" i="5"/>
  <c r="N16" i="5"/>
  <c r="O16" i="5"/>
  <c r="P16" i="5"/>
  <c r="N17" i="5"/>
  <c r="O17" i="5"/>
  <c r="P17" i="5"/>
  <c r="N18" i="5"/>
  <c r="O18" i="5"/>
  <c r="P18" i="5"/>
  <c r="N19" i="5"/>
  <c r="O19" i="5"/>
  <c r="P19" i="5"/>
  <c r="N20" i="5"/>
  <c r="O20" i="5"/>
  <c r="P20" i="5"/>
  <c r="Q20" i="5"/>
  <c r="N21" i="5"/>
  <c r="O21" i="5"/>
  <c r="P21" i="5"/>
  <c r="N22" i="5"/>
  <c r="O22" i="5"/>
  <c r="P22" i="5"/>
  <c r="N23" i="5"/>
  <c r="O23" i="5"/>
  <c r="P23" i="5"/>
  <c r="N24" i="5"/>
  <c r="O24" i="5"/>
  <c r="P24" i="5"/>
  <c r="N25" i="5"/>
  <c r="O25" i="5"/>
  <c r="P25" i="5"/>
  <c r="N26" i="5"/>
  <c r="O26" i="5"/>
  <c r="P26" i="5"/>
  <c r="Q26" i="5"/>
  <c r="N27" i="5"/>
  <c r="O27" i="5"/>
  <c r="P27" i="5"/>
  <c r="N28" i="5"/>
  <c r="O28" i="5"/>
  <c r="P28" i="5"/>
  <c r="N29" i="5"/>
  <c r="O29" i="5"/>
  <c r="P29" i="5"/>
  <c r="N30" i="5"/>
  <c r="O30" i="5"/>
  <c r="P30" i="5"/>
  <c r="N31" i="5"/>
  <c r="O31" i="5"/>
  <c r="P31" i="5"/>
  <c r="N32" i="5"/>
  <c r="O32" i="5"/>
  <c r="P32" i="5"/>
  <c r="N33" i="5"/>
  <c r="O33" i="5"/>
  <c r="P33" i="5"/>
  <c r="Q33" i="5"/>
  <c r="N34" i="5"/>
  <c r="O34" i="5"/>
  <c r="P34" i="5"/>
  <c r="Q34" i="5"/>
  <c r="N35" i="5"/>
  <c r="P35" i="5"/>
  <c r="Q35" i="5"/>
  <c r="AM11" i="5"/>
  <c r="AM10" i="5"/>
  <c r="AM14" i="5"/>
  <c r="AM22" i="5"/>
  <c r="AM17" i="5"/>
  <c r="AM5" i="5"/>
  <c r="AL23" i="5"/>
  <c r="AK23" i="5"/>
  <c r="AP22" i="5"/>
  <c r="AO22" i="5"/>
  <c r="AN22" i="5"/>
  <c r="AL22" i="5"/>
  <c r="AK22" i="5"/>
  <c r="AK10" i="5"/>
  <c r="AK11" i="5"/>
  <c r="AK9" i="5"/>
  <c r="AK17" i="5"/>
  <c r="AK13" i="5"/>
  <c r="AK8" i="5"/>
  <c r="AP21" i="5"/>
  <c r="AO21" i="5"/>
  <c r="AN21" i="5"/>
  <c r="AM21" i="5"/>
  <c r="AL21" i="5"/>
  <c r="AK21" i="5"/>
  <c r="AP20" i="5"/>
  <c r="AO20" i="5"/>
  <c r="AN20" i="5"/>
  <c r="AM20" i="5"/>
  <c r="AL20" i="5"/>
  <c r="AK20" i="5"/>
  <c r="AP19" i="5"/>
  <c r="AO19" i="5"/>
  <c r="AN19" i="5"/>
  <c r="AM19" i="5"/>
  <c r="AM18" i="5"/>
  <c r="AM9" i="5"/>
  <c r="AM8" i="5"/>
  <c r="AL19" i="5"/>
  <c r="AK19" i="5"/>
  <c r="AP18" i="5"/>
  <c r="AO18" i="5"/>
  <c r="AN18" i="5"/>
  <c r="AL18" i="5"/>
  <c r="AK18" i="5"/>
  <c r="AP17" i="5"/>
  <c r="AO17" i="5"/>
  <c r="AN17" i="5"/>
  <c r="AL17" i="5"/>
  <c r="AP16" i="5"/>
  <c r="AO16" i="5"/>
  <c r="AO8" i="5"/>
  <c r="AN16" i="5"/>
  <c r="AM16" i="5"/>
  <c r="AL16" i="5"/>
  <c r="AK16" i="5"/>
  <c r="AP15" i="5"/>
  <c r="AO15" i="5"/>
  <c r="AN15" i="5"/>
  <c r="AM15" i="5"/>
  <c r="AL15" i="5"/>
  <c r="AL5" i="5"/>
  <c r="AK15" i="5"/>
  <c r="AP14" i="5"/>
  <c r="AO14" i="5"/>
  <c r="AN14" i="5"/>
  <c r="AL14" i="5"/>
  <c r="AK14" i="5"/>
  <c r="AP13" i="5"/>
  <c r="AO13" i="5"/>
  <c r="AN13" i="5"/>
  <c r="AM13" i="5"/>
  <c r="AL13" i="5"/>
  <c r="AP12" i="5"/>
  <c r="AO12" i="5"/>
  <c r="AN12" i="5"/>
  <c r="AM12" i="5"/>
  <c r="AL12" i="5"/>
  <c r="AK12" i="5"/>
  <c r="AP11" i="5"/>
  <c r="AO11" i="5"/>
  <c r="AN11" i="5"/>
  <c r="AL11" i="5"/>
  <c r="AP10" i="5"/>
  <c r="AO10" i="5"/>
  <c r="AN10" i="5"/>
  <c r="AL10" i="5"/>
  <c r="AP9" i="5"/>
  <c r="AO9" i="5"/>
  <c r="AN9" i="5"/>
  <c r="AL9" i="5"/>
  <c r="AP8" i="5"/>
  <c r="AN8" i="5"/>
  <c r="AL8" i="5"/>
  <c r="AP7" i="5"/>
  <c r="AO7" i="5"/>
  <c r="AN7" i="5"/>
  <c r="AM7" i="5"/>
  <c r="AL7" i="5"/>
  <c r="AK7" i="5"/>
  <c r="AP5" i="5"/>
  <c r="AO5" i="5"/>
  <c r="AN5" i="5"/>
  <c r="AK5" i="5"/>
  <c r="AP4" i="5"/>
  <c r="AO4" i="5"/>
  <c r="AN4" i="5"/>
  <c r="AM4" i="5"/>
  <c r="AL4" i="5"/>
  <c r="AK4" i="5"/>
  <c r="B12" i="5"/>
  <c r="B20" i="5"/>
  <c r="B26" i="5"/>
  <c r="B33" i="5"/>
  <c r="A12" i="5"/>
  <c r="S7" i="6"/>
  <c r="O7" i="7"/>
  <c r="AP7" i="7"/>
  <c r="AF4" i="6"/>
  <c r="AI4" i="7"/>
  <c r="AL4" i="7"/>
  <c r="AE4" i="6"/>
  <c r="AH4" i="7"/>
  <c r="J4" i="6"/>
  <c r="J4" i="7"/>
  <c r="J2" i="7"/>
  <c r="AJ3" i="7"/>
  <c r="AI3" i="7"/>
  <c r="AH3" i="7"/>
  <c r="N3" i="7"/>
  <c r="M3" i="7"/>
  <c r="L3" i="7"/>
  <c r="K3" i="7"/>
  <c r="J3" i="7"/>
  <c r="F3" i="7"/>
  <c r="E3" i="7"/>
  <c r="D3" i="7"/>
  <c r="K4" i="6"/>
  <c r="K4" i="7"/>
  <c r="I4" i="6"/>
  <c r="I4" i="7"/>
  <c r="H4" i="6"/>
  <c r="H4" i="7"/>
  <c r="G4" i="6"/>
  <c r="G4" i="7"/>
  <c r="F4" i="6"/>
  <c r="F4" i="7"/>
  <c r="E4" i="6"/>
  <c r="E4" i="7"/>
  <c r="B4" i="7"/>
  <c r="I3" i="6"/>
  <c r="I3" i="7"/>
  <c r="H3" i="6"/>
  <c r="H3" i="7"/>
  <c r="G3" i="6"/>
  <c r="G3" i="7"/>
  <c r="D4" i="6"/>
  <c r="D4" i="7"/>
  <c r="M4" i="6"/>
  <c r="M4" i="7"/>
  <c r="N4" i="6"/>
  <c r="N4" i="7"/>
  <c r="A20" i="5"/>
  <c r="A26" i="5"/>
  <c r="A33" i="5"/>
  <c r="I6" i="6"/>
  <c r="I6" i="7"/>
  <c r="AG4" i="6"/>
  <c r="AJ4" i="7"/>
  <c r="L5" i="6"/>
  <c r="L5" i="7"/>
  <c r="AE5" i="6"/>
  <c r="AH5" i="7"/>
  <c r="N5" i="6"/>
  <c r="N5" i="7"/>
  <c r="C7" i="5"/>
  <c r="C11" i="5"/>
  <c r="V19" i="6"/>
  <c r="V19" i="7"/>
  <c r="C21" i="5"/>
  <c r="C25" i="5"/>
  <c r="C5" i="5"/>
  <c r="S22" i="6"/>
  <c r="O22" i="7"/>
  <c r="C10" i="5"/>
  <c r="C16" i="5"/>
  <c r="C6" i="5"/>
  <c r="O11" i="5"/>
  <c r="C28" i="5"/>
  <c r="C13" i="5"/>
  <c r="C27" i="5"/>
  <c r="C19" i="5"/>
  <c r="C18" i="5"/>
  <c r="Y19" i="5"/>
  <c r="O4" i="5"/>
  <c r="L4" i="6"/>
  <c r="L4" i="7"/>
  <c r="C32" i="5"/>
  <c r="C24" i="5"/>
  <c r="C31" i="5"/>
  <c r="C23" i="5"/>
  <c r="C9" i="5"/>
  <c r="U19" i="5"/>
  <c r="Y27" i="5"/>
  <c r="V29" i="6"/>
  <c r="V29" i="7"/>
  <c r="C30" i="5"/>
  <c r="C22" i="5"/>
  <c r="C15" i="5"/>
  <c r="C8" i="5"/>
  <c r="C29" i="5"/>
  <c r="C14" i="5"/>
  <c r="Y11" i="5"/>
  <c r="U10" i="5"/>
  <c r="U18" i="5"/>
  <c r="Y26" i="5"/>
  <c r="X28" i="5"/>
  <c r="U34" i="6"/>
  <c r="T34" i="7"/>
  <c r="O35" i="5"/>
  <c r="X8" i="5"/>
  <c r="W10" i="5"/>
  <c r="X16" i="5"/>
  <c r="X24" i="5"/>
  <c r="U17" i="6"/>
  <c r="T17" i="7"/>
  <c r="X32" i="5"/>
  <c r="W34" i="5"/>
  <c r="T5" i="6"/>
  <c r="T5" i="7"/>
  <c r="U16" i="5"/>
  <c r="T18" i="5"/>
  <c r="Q12" i="6"/>
  <c r="P12" i="7"/>
  <c r="U24" i="5"/>
  <c r="H5" i="6"/>
  <c r="H5" i="7"/>
  <c r="E7" i="6"/>
  <c r="E7" i="7"/>
  <c r="K5" i="6"/>
  <c r="K5" i="7"/>
  <c r="J5" i="6"/>
  <c r="J5" i="7"/>
  <c r="I5" i="6"/>
  <c r="I5" i="7"/>
  <c r="C5" i="6"/>
  <c r="AH5" i="6"/>
  <c r="K7" i="6"/>
  <c r="K7" i="7"/>
  <c r="G5" i="6"/>
  <c r="G5" i="7"/>
  <c r="E5" i="6"/>
  <c r="E5" i="7"/>
  <c r="Z7" i="6"/>
  <c r="Z7" i="7"/>
  <c r="C7" i="6"/>
  <c r="AJ7" i="6"/>
  <c r="D5" i="6"/>
  <c r="D5" i="7"/>
  <c r="J7" i="6"/>
  <c r="J7" i="7"/>
  <c r="L7" i="6"/>
  <c r="L7" i="7"/>
  <c r="F7" i="6"/>
  <c r="F7" i="7"/>
  <c r="D7" i="6"/>
  <c r="D7" i="7"/>
  <c r="N7" i="6"/>
  <c r="N7" i="7"/>
  <c r="I7" i="6"/>
  <c r="I7" i="7"/>
  <c r="AB7" i="6"/>
  <c r="AB7" i="7"/>
  <c r="M7" i="6"/>
  <c r="M7" i="7"/>
  <c r="AF16" i="6"/>
  <c r="AI16" i="7"/>
  <c r="AC26" i="6"/>
  <c r="AC26" i="7"/>
  <c r="AQ26" i="7"/>
  <c r="AG20" i="6"/>
  <c r="AJ20" i="7"/>
  <c r="C26" i="6"/>
  <c r="AJ26" i="6"/>
  <c r="C34" i="6"/>
  <c r="AJ34" i="6"/>
  <c r="C25" i="6"/>
  <c r="C25" i="7"/>
  <c r="AE25" i="7"/>
  <c r="Z18" i="6"/>
  <c r="Z18" i="7"/>
  <c r="AD29" i="6"/>
  <c r="AD29" i="7"/>
  <c r="F25" i="6"/>
  <c r="F25" i="7"/>
  <c r="AD31" i="6"/>
  <c r="AD31" i="7"/>
  <c r="J16" i="6"/>
  <c r="J16" i="7"/>
  <c r="N25" i="6"/>
  <c r="N25" i="7"/>
  <c r="AE26" i="6"/>
  <c r="AH26" i="7"/>
  <c r="AA25" i="6"/>
  <c r="AA25" i="7"/>
  <c r="AF25" i="6"/>
  <c r="AI25" i="7"/>
  <c r="AG14" i="6"/>
  <c r="AJ14" i="7"/>
  <c r="I9" i="6"/>
  <c r="I9" i="7"/>
  <c r="AF17" i="6"/>
  <c r="AI17" i="7"/>
  <c r="N12" i="6"/>
  <c r="N12" i="7"/>
  <c r="AA14" i="6"/>
  <c r="AA14" i="7"/>
  <c r="I22" i="6"/>
  <c r="I22" i="7"/>
  <c r="AA26" i="6"/>
  <c r="AA26" i="7"/>
  <c r="L10" i="6"/>
  <c r="L10" i="7"/>
  <c r="I34" i="6"/>
  <c r="I34" i="7"/>
  <c r="AB19" i="6"/>
  <c r="AB19" i="7"/>
  <c r="AG25" i="6"/>
  <c r="AJ25" i="7"/>
  <c r="C18" i="6"/>
  <c r="AJ18" i="6"/>
  <c r="G24" i="6"/>
  <c r="G24" i="7"/>
  <c r="J26" i="6"/>
  <c r="J26" i="7"/>
  <c r="L11" i="6"/>
  <c r="L11" i="7"/>
  <c r="H12" i="6"/>
  <c r="H12" i="7"/>
  <c r="AG17" i="6"/>
  <c r="AJ17" i="7"/>
  <c r="I28" i="6"/>
  <c r="I28" i="7"/>
  <c r="K34" i="6"/>
  <c r="K34" i="7"/>
  <c r="E33" i="6"/>
  <c r="E33" i="7"/>
  <c r="F20" i="6"/>
  <c r="F20" i="7"/>
  <c r="Y18" i="6"/>
  <c r="Y18" i="7"/>
  <c r="AF18" i="6"/>
  <c r="AI18" i="7"/>
  <c r="AG9" i="6"/>
  <c r="K30" i="6"/>
  <c r="K30" i="7"/>
  <c r="AF15" i="6"/>
  <c r="AI15" i="7"/>
  <c r="D25" i="6"/>
  <c r="D25" i="7"/>
  <c r="Z14" i="6"/>
  <c r="Z14" i="7"/>
  <c r="F9" i="6"/>
  <c r="F9" i="7"/>
  <c r="Z30" i="6"/>
  <c r="Z30" i="7"/>
  <c r="AG24" i="6"/>
  <c r="AJ24" i="7"/>
  <c r="I23" i="6"/>
  <c r="I23" i="7"/>
  <c r="AD21" i="6"/>
  <c r="AD21" i="7"/>
  <c r="AE24" i="6"/>
  <c r="AH24" i="7"/>
  <c r="E14" i="6"/>
  <c r="E14" i="7"/>
  <c r="C21" i="6"/>
  <c r="C21" i="7"/>
  <c r="AE21" i="7"/>
  <c r="G14" i="6"/>
  <c r="G14" i="7"/>
  <c r="D24" i="6"/>
  <c r="D24" i="7"/>
  <c r="AD24" i="6"/>
  <c r="AD24" i="7"/>
  <c r="M17" i="6"/>
  <c r="M17" i="7"/>
  <c r="G34" i="6"/>
  <c r="G34" i="7"/>
  <c r="X17" i="6"/>
  <c r="X17" i="7"/>
  <c r="AE21" i="6"/>
  <c r="AH21" i="7"/>
  <c r="AD17" i="6"/>
  <c r="AD17" i="7"/>
  <c r="AC20" i="6"/>
  <c r="AC20" i="7"/>
  <c r="AG16" i="6"/>
  <c r="AJ16" i="7"/>
  <c r="AF24" i="6"/>
  <c r="AI24" i="7"/>
  <c r="AC29" i="6"/>
  <c r="AC29" i="7"/>
  <c r="J13" i="6"/>
  <c r="J13" i="7"/>
  <c r="E34" i="6"/>
  <c r="E34" i="7"/>
  <c r="F13" i="6"/>
  <c r="F13" i="7"/>
  <c r="N21" i="6"/>
  <c r="N21" i="7"/>
  <c r="N15" i="6"/>
  <c r="N15" i="7"/>
  <c r="Y28" i="6"/>
  <c r="Y28" i="7"/>
  <c r="AC9" i="6"/>
  <c r="AC9" i="7"/>
  <c r="K23" i="6"/>
  <c r="K23" i="7"/>
  <c r="D12" i="6"/>
  <c r="D12" i="7"/>
  <c r="M20" i="6"/>
  <c r="M20" i="7"/>
  <c r="E20" i="6"/>
  <c r="E20" i="7"/>
  <c r="K13" i="6"/>
  <c r="K13" i="7"/>
  <c r="AF20" i="6"/>
  <c r="AI20" i="7"/>
  <c r="Z25" i="6"/>
  <c r="Z25" i="7"/>
  <c r="AF12" i="6"/>
  <c r="F30" i="6"/>
  <c r="F30" i="7"/>
  <c r="M26" i="6"/>
  <c r="M26" i="7"/>
  <c r="AA21" i="6"/>
  <c r="AA21" i="7"/>
  <c r="I30" i="6"/>
  <c r="I30" i="7"/>
  <c r="G13" i="6"/>
  <c r="G13" i="7"/>
  <c r="AF13" i="6"/>
  <c r="AI13" i="7"/>
  <c r="F34" i="6"/>
  <c r="F34" i="7"/>
  <c r="S28" i="6"/>
  <c r="O28" i="7"/>
  <c r="AP28" i="7"/>
  <c r="G27" i="6"/>
  <c r="G27" i="7"/>
  <c r="G12" i="6"/>
  <c r="G12" i="7"/>
  <c r="H14" i="6"/>
  <c r="H14" i="7"/>
  <c r="E9" i="6"/>
  <c r="E9" i="7"/>
  <c r="C30" i="6"/>
  <c r="AJ30" i="6"/>
  <c r="AG11" i="6"/>
  <c r="AJ11" i="7"/>
  <c r="E23" i="6"/>
  <c r="E23" i="7"/>
  <c r="K22" i="6"/>
  <c r="K22" i="7"/>
  <c r="M31" i="6"/>
  <c r="M31" i="7"/>
  <c r="M21" i="6"/>
  <c r="M21" i="7"/>
  <c r="I16" i="6"/>
  <c r="I16" i="7"/>
  <c r="H17" i="6"/>
  <c r="H17" i="7"/>
  <c r="AD16" i="6"/>
  <c r="AD16" i="7"/>
  <c r="L20" i="6"/>
  <c r="L20" i="7"/>
  <c r="H19" i="6"/>
  <c r="H19" i="7"/>
  <c r="AB10" i="6"/>
  <c r="AB10" i="7"/>
  <c r="J25" i="6"/>
  <c r="J25" i="7"/>
  <c r="M27" i="6"/>
  <c r="M27" i="7"/>
  <c r="F14" i="6"/>
  <c r="F14" i="7"/>
  <c r="AG27" i="6"/>
  <c r="AJ27" i="7"/>
  <c r="S23" i="6"/>
  <c r="O23" i="7"/>
  <c r="AE28" i="6"/>
  <c r="AH28" i="7"/>
  <c r="H23" i="6"/>
  <c r="H23" i="7"/>
  <c r="E19" i="6"/>
  <c r="E19" i="7"/>
  <c r="X31" i="6"/>
  <c r="X31" i="7"/>
  <c r="M25" i="6"/>
  <c r="M25" i="7"/>
  <c r="C10" i="6"/>
  <c r="C10" i="7"/>
  <c r="AK10" i="7"/>
  <c r="AF33" i="6"/>
  <c r="AI33" i="7"/>
  <c r="X23" i="6"/>
  <c r="X23" i="7"/>
  <c r="M13" i="6"/>
  <c r="M13" i="7"/>
  <c r="V28" i="6"/>
  <c r="V28" i="7"/>
  <c r="H28" i="6"/>
  <c r="H28" i="7"/>
  <c r="I21" i="6"/>
  <c r="I21" i="7"/>
  <c r="F15" i="6"/>
  <c r="F15" i="7"/>
  <c r="G31" i="6"/>
  <c r="G31" i="7"/>
  <c r="H11" i="6"/>
  <c r="H11" i="7"/>
  <c r="M10" i="6"/>
  <c r="M10" i="7"/>
  <c r="AA12" i="6"/>
  <c r="AA12" i="7"/>
  <c r="L31" i="6"/>
  <c r="L31" i="7"/>
  <c r="AD10" i="6"/>
  <c r="AD10" i="7"/>
  <c r="L23" i="6"/>
  <c r="L23" i="7"/>
  <c r="E17" i="6"/>
  <c r="E17" i="7"/>
  <c r="H30" i="6"/>
  <c r="H30" i="7"/>
  <c r="M14" i="6"/>
  <c r="M14" i="7"/>
  <c r="AG29" i="6"/>
  <c r="AJ29" i="7"/>
  <c r="M18" i="6"/>
  <c r="M18" i="7"/>
  <c r="T16" i="6"/>
  <c r="R16" i="7"/>
  <c r="C9" i="6"/>
  <c r="AJ9" i="6"/>
  <c r="M33" i="6"/>
  <c r="M33" i="7"/>
  <c r="AE15" i="6"/>
  <c r="AH15" i="7"/>
  <c r="K18" i="6"/>
  <c r="K18" i="7"/>
  <c r="AE10" i="6"/>
  <c r="AH10" i="7"/>
  <c r="I27" i="6"/>
  <c r="I27" i="7"/>
  <c r="AD23" i="6"/>
  <c r="AD23" i="7"/>
  <c r="G17" i="6"/>
  <c r="G17" i="7"/>
  <c r="Z19" i="6"/>
  <c r="Z19" i="7"/>
  <c r="I17" i="6"/>
  <c r="I17" i="7"/>
  <c r="M16" i="6"/>
  <c r="M16" i="7"/>
  <c r="AE30" i="6"/>
  <c r="AH30" i="7"/>
  <c r="M11" i="6"/>
  <c r="M11" i="7"/>
  <c r="N16" i="6"/>
  <c r="N16" i="7"/>
  <c r="AG34" i="6"/>
  <c r="AJ34" i="7"/>
  <c r="AA27" i="6"/>
  <c r="AA27" i="7"/>
  <c r="AA24" i="6"/>
  <c r="AA24" i="7"/>
  <c r="AC34" i="6"/>
  <c r="AC34" i="7"/>
  <c r="E22" i="6"/>
  <c r="E22" i="7"/>
  <c r="D26" i="6"/>
  <c r="D26" i="7"/>
  <c r="AB16" i="6"/>
  <c r="AB16" i="7"/>
  <c r="F27" i="6"/>
  <c r="F27" i="7"/>
  <c r="AB27" i="6"/>
  <c r="AB27" i="7"/>
  <c r="AB31" i="6"/>
  <c r="AB31" i="7"/>
  <c r="Y20" i="6"/>
  <c r="Y20" i="7"/>
  <c r="R16" i="6"/>
  <c r="S16" i="7"/>
  <c r="H9" i="6"/>
  <c r="H9" i="7"/>
  <c r="K27" i="6"/>
  <c r="K27" i="7"/>
  <c r="P22" i="6"/>
  <c r="U22" i="7"/>
  <c r="AE23" i="6"/>
  <c r="AH23" i="7"/>
  <c r="AF23" i="6"/>
  <c r="AI23" i="7"/>
  <c r="AG13" i="6"/>
  <c r="AJ13" i="7"/>
  <c r="Q17" i="6"/>
  <c r="P17" i="7"/>
  <c r="AE25" i="6"/>
  <c r="AH25" i="7"/>
  <c r="L19" i="6"/>
  <c r="L19" i="7"/>
  <c r="E24" i="6"/>
  <c r="E24" i="7"/>
  <c r="U31" i="6"/>
  <c r="T31" i="7"/>
  <c r="L22" i="6"/>
  <c r="L22" i="7"/>
  <c r="D22" i="6"/>
  <c r="D22" i="7"/>
  <c r="D20" i="6"/>
  <c r="D20" i="7"/>
  <c r="C29" i="6"/>
  <c r="AI29" i="6"/>
  <c r="K28" i="6"/>
  <c r="K28" i="7"/>
  <c r="C20" i="6"/>
  <c r="AI20" i="6"/>
  <c r="AE16" i="6"/>
  <c r="AH16" i="7"/>
  <c r="R10" i="6"/>
  <c r="S10" i="7"/>
  <c r="S24" i="6"/>
  <c r="O24" i="7"/>
  <c r="AD11" i="6"/>
  <c r="AD11" i="7"/>
  <c r="D16" i="6"/>
  <c r="D16" i="7"/>
  <c r="J20" i="6"/>
  <c r="J20" i="7"/>
  <c r="I31" i="6"/>
  <c r="I31" i="7"/>
  <c r="N22" i="6"/>
  <c r="N22" i="7"/>
  <c r="K12" i="6"/>
  <c r="K12" i="7"/>
  <c r="Y30" i="6"/>
  <c r="Y30" i="7"/>
  <c r="G33" i="6"/>
  <c r="G33" i="7"/>
  <c r="AE33" i="6"/>
  <c r="AH33" i="7"/>
  <c r="N29" i="6"/>
  <c r="N29" i="7"/>
  <c r="M30" i="6"/>
  <c r="M30" i="7"/>
  <c r="AA22" i="6"/>
  <c r="AA22" i="7"/>
  <c r="F16" i="6"/>
  <c r="F16" i="7"/>
  <c r="AA23" i="6"/>
  <c r="AA23" i="7"/>
  <c r="AF34" i="6"/>
  <c r="AI34" i="7"/>
  <c r="F19" i="6"/>
  <c r="F19" i="7"/>
  <c r="K20" i="6"/>
  <c r="K20" i="7"/>
  <c r="AF19" i="6"/>
  <c r="AI19" i="7"/>
  <c r="K24" i="6"/>
  <c r="K24" i="7"/>
  <c r="C15" i="6"/>
  <c r="AH15" i="6"/>
  <c r="L13" i="6"/>
  <c r="L13" i="7"/>
  <c r="H27" i="6"/>
  <c r="H27" i="7"/>
  <c r="H24" i="6"/>
  <c r="H24" i="7"/>
  <c r="E13" i="6"/>
  <c r="E13" i="7"/>
  <c r="AE9" i="6"/>
  <c r="R15" i="6"/>
  <c r="S15" i="7"/>
  <c r="Y11" i="6"/>
  <c r="Y11" i="7"/>
  <c r="C31" i="6"/>
  <c r="C31" i="7"/>
  <c r="AK31" i="7"/>
  <c r="AF31" i="7"/>
  <c r="F24" i="6"/>
  <c r="F24" i="7"/>
  <c r="G10" i="6"/>
  <c r="G10" i="7"/>
  <c r="C11" i="6"/>
  <c r="AJ11" i="6"/>
  <c r="J15" i="6"/>
  <c r="J15" i="7"/>
  <c r="X21" i="6"/>
  <c r="X21" i="7"/>
  <c r="AA13" i="6"/>
  <c r="AA13" i="7"/>
  <c r="AD34" i="6"/>
  <c r="AD34" i="7"/>
  <c r="AA17" i="6"/>
  <c r="AA17" i="7"/>
  <c r="I12" i="6"/>
  <c r="I12" i="7"/>
  <c r="N19" i="6"/>
  <c r="N19" i="7"/>
  <c r="N34" i="6"/>
  <c r="N34" i="7"/>
  <c r="F17" i="6"/>
  <c r="F17" i="7"/>
  <c r="M9" i="6"/>
  <c r="M9" i="7"/>
  <c r="F11" i="6"/>
  <c r="F11" i="7"/>
  <c r="AE17" i="6"/>
  <c r="AH17" i="7"/>
  <c r="AE18" i="6"/>
  <c r="AH18" i="7"/>
  <c r="I25" i="6"/>
  <c r="I25" i="7"/>
  <c r="AE13" i="6"/>
  <c r="AH13" i="7"/>
  <c r="N17" i="6"/>
  <c r="N17" i="7"/>
  <c r="D34" i="6"/>
  <c r="D34" i="7"/>
  <c r="K26" i="6"/>
  <c r="K26" i="7"/>
  <c r="I13" i="6"/>
  <c r="I13" i="7"/>
  <c r="Y19" i="6"/>
  <c r="Y19" i="7"/>
  <c r="Z34" i="6"/>
  <c r="Z34" i="7"/>
  <c r="M24" i="6"/>
  <c r="M24" i="7"/>
  <c r="AF26" i="6"/>
  <c r="AI26" i="7"/>
  <c r="X29" i="6"/>
  <c r="X29" i="7"/>
  <c r="K29" i="6"/>
  <c r="K29" i="7"/>
  <c r="N33" i="6"/>
  <c r="N33" i="7"/>
  <c r="L25" i="6"/>
  <c r="L25" i="7"/>
  <c r="X22" i="6"/>
  <c r="X22" i="7"/>
  <c r="J9" i="6"/>
  <c r="J9" i="7"/>
  <c r="E25" i="6"/>
  <c r="E25" i="7"/>
  <c r="N23" i="6"/>
  <c r="N23" i="7"/>
  <c r="AC22" i="6"/>
  <c r="AC22" i="7"/>
  <c r="AF27" i="6"/>
  <c r="AI27" i="7"/>
  <c r="J29" i="6"/>
  <c r="J29" i="7"/>
  <c r="AB11" i="6"/>
  <c r="AB11" i="7"/>
  <c r="L28" i="6"/>
  <c r="L28" i="7"/>
  <c r="N20" i="6"/>
  <c r="N20" i="7"/>
  <c r="N14" i="6"/>
  <c r="N14" i="7"/>
  <c r="AF14" i="6"/>
  <c r="AI14" i="7"/>
  <c r="H26" i="6"/>
  <c r="H26" i="7"/>
  <c r="N10" i="6"/>
  <c r="N10" i="7"/>
  <c r="H18" i="6"/>
  <c r="H18" i="7"/>
  <c r="I33" i="6"/>
  <c r="I33" i="7"/>
  <c r="I18" i="6"/>
  <c r="I18" i="7"/>
  <c r="D21" i="6"/>
  <c r="D21" i="7"/>
  <c r="AA18" i="6"/>
  <c r="AA18" i="7"/>
  <c r="J10" i="6"/>
  <c r="J10" i="7"/>
  <c r="J24" i="6"/>
  <c r="J24" i="7"/>
  <c r="J18" i="6"/>
  <c r="J18" i="7"/>
  <c r="P17" i="6"/>
  <c r="U17" i="7"/>
  <c r="E11" i="6"/>
  <c r="E11" i="7"/>
  <c r="AE19" i="6"/>
  <c r="AH19" i="7"/>
  <c r="F33" i="6"/>
  <c r="F33" i="7"/>
  <c r="AA10" i="6"/>
  <c r="AA10" i="7"/>
  <c r="G29" i="6"/>
  <c r="G29" i="7"/>
  <c r="H29" i="6"/>
  <c r="H29" i="7"/>
  <c r="J28" i="6"/>
  <c r="J28" i="7"/>
  <c r="G18" i="6"/>
  <c r="G18" i="7"/>
  <c r="AE34" i="6"/>
  <c r="AH34" i="7"/>
  <c r="D23" i="6"/>
  <c r="D23" i="7"/>
  <c r="U28" i="6"/>
  <c r="T28" i="7"/>
  <c r="H34" i="6"/>
  <c r="H34" i="7"/>
  <c r="Z16" i="6"/>
  <c r="Z16" i="7"/>
  <c r="N11" i="6"/>
  <c r="N11" i="7"/>
  <c r="AB30" i="6"/>
  <c r="AB30" i="7"/>
  <c r="I15" i="6"/>
  <c r="I15" i="7"/>
  <c r="N30" i="6"/>
  <c r="N30" i="7"/>
  <c r="G20" i="6"/>
  <c r="G20" i="7"/>
  <c r="L18" i="6"/>
  <c r="L18" i="7"/>
  <c r="X14" i="6"/>
  <c r="X14" i="7"/>
  <c r="I20" i="6"/>
  <c r="I20" i="7"/>
  <c r="I29" i="6"/>
  <c r="I29" i="7"/>
  <c r="E10" i="6"/>
  <c r="E10" i="7"/>
  <c r="C23" i="6"/>
  <c r="AH23" i="6"/>
  <c r="AF10" i="6"/>
  <c r="AI10" i="7"/>
  <c r="AE22" i="6"/>
  <c r="AH22" i="7"/>
  <c r="AG22" i="6"/>
  <c r="AJ22" i="7"/>
  <c r="L34" i="6"/>
  <c r="L34" i="7"/>
  <c r="AG23" i="6"/>
  <c r="AJ23" i="7"/>
  <c r="H20" i="6"/>
  <c r="H20" i="7"/>
  <c r="V16" i="6"/>
  <c r="V16" i="7"/>
  <c r="AC10" i="6"/>
  <c r="AC10" i="7"/>
  <c r="K19" i="6"/>
  <c r="K19" i="7"/>
  <c r="AC28" i="6"/>
  <c r="AC28" i="7"/>
  <c r="H21" i="6"/>
  <c r="H21" i="7"/>
  <c r="N9" i="6"/>
  <c r="N9" i="7"/>
  <c r="AC12" i="6"/>
  <c r="AC12" i="7"/>
  <c r="E28" i="6"/>
  <c r="E28" i="7"/>
  <c r="G30" i="6"/>
  <c r="G30" i="7"/>
  <c r="AA30" i="6"/>
  <c r="AA30" i="7"/>
  <c r="AB34" i="6"/>
  <c r="AB34" i="7"/>
  <c r="F12" i="6"/>
  <c r="F12" i="7"/>
  <c r="M28" i="6"/>
  <c r="M28" i="7"/>
  <c r="AD20" i="6"/>
  <c r="AD20" i="7"/>
  <c r="K31" i="6"/>
  <c r="K31" i="7"/>
  <c r="AB13" i="6"/>
  <c r="AB13" i="7"/>
  <c r="G26" i="6"/>
  <c r="G26" i="7"/>
  <c r="X28" i="6"/>
  <c r="X28" i="7"/>
  <c r="D17" i="6"/>
  <c r="D17" i="7"/>
  <c r="AE27" i="6"/>
  <c r="AH27" i="7"/>
  <c r="E21" i="6"/>
  <c r="E21" i="7"/>
  <c r="I10" i="6"/>
  <c r="I10" i="7"/>
  <c r="C17" i="6"/>
  <c r="AJ17" i="6"/>
  <c r="X11" i="6"/>
  <c r="X11" i="7"/>
  <c r="E27" i="6"/>
  <c r="E27" i="7"/>
  <c r="Y27" i="6"/>
  <c r="Y27" i="7"/>
  <c r="AA29" i="6"/>
  <c r="AA29" i="7"/>
  <c r="C12" i="6"/>
  <c r="AI12" i="6"/>
  <c r="L27" i="6"/>
  <c r="L27" i="7"/>
  <c r="Z10" i="6"/>
  <c r="Z10" i="7"/>
  <c r="J33" i="6"/>
  <c r="J33" i="7"/>
  <c r="AD9" i="6"/>
  <c r="AD9" i="7"/>
  <c r="J22" i="6"/>
  <c r="J22" i="7"/>
  <c r="H22" i="6"/>
  <c r="H22" i="7"/>
  <c r="T34" i="6"/>
  <c r="R34" i="7"/>
  <c r="AE29" i="6"/>
  <c r="AH29" i="7"/>
  <c r="C28" i="6"/>
  <c r="AI28" i="6"/>
  <c r="E30" i="6"/>
  <c r="E30" i="7"/>
  <c r="AG19" i="6"/>
  <c r="AJ19" i="7"/>
  <c r="G16" i="6"/>
  <c r="G16" i="7"/>
  <c r="N24" i="6"/>
  <c r="N24" i="7"/>
  <c r="E16" i="6"/>
  <c r="E16" i="7"/>
  <c r="G21" i="6"/>
  <c r="G21" i="7"/>
  <c r="D14" i="6"/>
  <c r="D14" i="7"/>
  <c r="F31" i="6"/>
  <c r="F31" i="7"/>
  <c r="M19" i="6"/>
  <c r="M19" i="7"/>
  <c r="D11" i="6"/>
  <c r="D11" i="7"/>
  <c r="U12" i="6"/>
  <c r="E26" i="6"/>
  <c r="E26" i="7"/>
  <c r="AG30" i="6"/>
  <c r="AJ30" i="7"/>
  <c r="I14" i="6"/>
  <c r="I14" i="7"/>
  <c r="R9" i="6"/>
  <c r="K25" i="6"/>
  <c r="K25" i="7"/>
  <c r="M34" i="6"/>
  <c r="M34" i="7"/>
  <c r="G25" i="6"/>
  <c r="G25" i="7"/>
  <c r="F10" i="6"/>
  <c r="F10" i="7"/>
  <c r="V21" i="6"/>
  <c r="V21" i="7"/>
  <c r="AA20" i="6"/>
  <c r="AA20" i="7"/>
  <c r="L16" i="6"/>
  <c r="L16" i="7"/>
  <c r="AB28" i="6"/>
  <c r="AB28" i="7"/>
  <c r="L17" i="6"/>
  <c r="L17" i="7"/>
  <c r="C16" i="6"/>
  <c r="AJ16" i="6"/>
  <c r="F21" i="6"/>
  <c r="F21" i="7"/>
  <c r="L26" i="6"/>
  <c r="L26" i="7"/>
  <c r="J27" i="6"/>
  <c r="J27" i="7"/>
  <c r="L21" i="6"/>
  <c r="L21" i="7"/>
  <c r="F26" i="6"/>
  <c r="F26" i="7"/>
  <c r="AB14" i="6"/>
  <c r="AB14" i="7"/>
  <c r="G22" i="6"/>
  <c r="G22" i="7"/>
  <c r="Z21" i="6"/>
  <c r="Z21" i="7"/>
  <c r="E31" i="6"/>
  <c r="E31" i="7"/>
  <c r="Z11" i="6"/>
  <c r="Z11" i="7"/>
  <c r="Z26" i="6"/>
  <c r="Z26" i="7"/>
  <c r="K9" i="6"/>
  <c r="K9" i="7"/>
  <c r="Q20" i="6"/>
  <c r="P20" i="7"/>
  <c r="N13" i="6"/>
  <c r="N13" i="7"/>
  <c r="I26" i="6"/>
  <c r="I26" i="7"/>
  <c r="H13" i="6"/>
  <c r="H13" i="7"/>
  <c r="F22" i="6"/>
  <c r="F22" i="7"/>
  <c r="D27" i="6"/>
  <c r="D27" i="7"/>
  <c r="E18" i="6"/>
  <c r="E18" i="7"/>
  <c r="AC17" i="6"/>
  <c r="AC17" i="7"/>
  <c r="D9" i="6"/>
  <c r="D9" i="7"/>
  <c r="H10" i="6"/>
  <c r="H10" i="7"/>
  <c r="M12" i="6"/>
  <c r="M12" i="7"/>
  <c r="Z23" i="6"/>
  <c r="Z23" i="7"/>
  <c r="AB15" i="6"/>
  <c r="AB15" i="7"/>
  <c r="D28" i="6"/>
  <c r="D28" i="7"/>
  <c r="K11" i="6"/>
  <c r="K11" i="7"/>
  <c r="J23" i="6"/>
  <c r="J23" i="7"/>
  <c r="T23" i="6"/>
  <c r="R23" i="7"/>
  <c r="H25" i="6"/>
  <c r="H25" i="7"/>
  <c r="D18" i="6"/>
  <c r="D18" i="7"/>
  <c r="AG18" i="6"/>
  <c r="AJ18" i="7"/>
  <c r="AF21" i="6"/>
  <c r="AI21" i="7"/>
  <c r="C14" i="6"/>
  <c r="AJ14" i="6"/>
  <c r="N26" i="6"/>
  <c r="N26" i="7"/>
  <c r="AD26" i="6"/>
  <c r="AD26" i="7"/>
  <c r="H31" i="6"/>
  <c r="H31" i="7"/>
  <c r="F28" i="6"/>
  <c r="F28" i="7"/>
  <c r="AF9" i="6"/>
  <c r="L12" i="6"/>
  <c r="L12" i="7"/>
  <c r="I11" i="6"/>
  <c r="I11" i="7"/>
  <c r="S26" i="6"/>
  <c r="O26" i="7"/>
  <c r="H16" i="6"/>
  <c r="H16" i="7"/>
  <c r="D10" i="6"/>
  <c r="D10" i="7"/>
  <c r="AD15" i="6"/>
  <c r="AD15" i="7"/>
  <c r="L14" i="6"/>
  <c r="L14" i="7"/>
  <c r="F23" i="6"/>
  <c r="F23" i="7"/>
  <c r="J17" i="6"/>
  <c r="J17" i="7"/>
  <c r="M22" i="6"/>
  <c r="M22" i="7"/>
  <c r="K21" i="6"/>
  <c r="K21" i="7"/>
  <c r="L24" i="6"/>
  <c r="L24" i="7"/>
  <c r="E29" i="6"/>
  <c r="E29" i="7"/>
  <c r="AC16" i="6"/>
  <c r="AC16" i="7"/>
  <c r="F18" i="6"/>
  <c r="F18" i="7"/>
  <c r="G23" i="6"/>
  <c r="G23" i="7"/>
  <c r="N27" i="6"/>
  <c r="N27" i="7"/>
  <c r="E15" i="6"/>
  <c r="E15" i="7"/>
  <c r="N28" i="6"/>
  <c r="N28" i="7"/>
  <c r="Z13" i="6"/>
  <c r="Z13" i="7"/>
  <c r="D30" i="6"/>
  <c r="D30" i="7"/>
  <c r="J34" i="6"/>
  <c r="J34" i="7"/>
  <c r="Z17" i="6"/>
  <c r="Z17" i="7"/>
  <c r="AF30" i="6"/>
  <c r="AI30" i="7"/>
  <c r="AF29" i="6"/>
  <c r="AI29" i="7"/>
  <c r="AE11" i="6"/>
  <c r="AH11" i="7"/>
  <c r="AC31" i="6"/>
  <c r="AC31" i="7"/>
  <c r="J12" i="6"/>
  <c r="J12" i="7"/>
  <c r="AQ12" i="7"/>
  <c r="C27" i="6"/>
  <c r="AH27" i="6"/>
  <c r="AC24" i="6"/>
  <c r="AC24" i="7"/>
  <c r="N18" i="6"/>
  <c r="N18" i="7"/>
  <c r="L9" i="6"/>
  <c r="L9" i="7"/>
  <c r="K16" i="6"/>
  <c r="K16" i="7"/>
  <c r="AB23" i="6"/>
  <c r="AB23" i="7"/>
  <c r="AB20" i="6"/>
  <c r="AB20" i="7"/>
  <c r="D19" i="6"/>
  <c r="D19" i="7"/>
  <c r="C33" i="6"/>
  <c r="AJ33" i="6"/>
  <c r="AE20" i="6"/>
  <c r="AH20" i="7"/>
  <c r="K17" i="6"/>
  <c r="K17" i="7"/>
  <c r="T10" i="6"/>
  <c r="R10" i="7"/>
  <c r="D33" i="6"/>
  <c r="D33" i="7"/>
  <c r="AC21" i="6"/>
  <c r="AC21" i="7"/>
  <c r="J30" i="6"/>
  <c r="J30" i="7"/>
  <c r="G9" i="6"/>
  <c r="G9" i="7"/>
  <c r="AG7" i="6"/>
  <c r="AJ7" i="7"/>
  <c r="AD7" i="6"/>
  <c r="AD7" i="7"/>
  <c r="M5" i="6"/>
  <c r="M5" i="7"/>
  <c r="H7" i="6"/>
  <c r="H7" i="7"/>
  <c r="Z5" i="6"/>
  <c r="Z5" i="7"/>
  <c r="R5" i="6"/>
  <c r="R5" i="7"/>
  <c r="AF7" i="6"/>
  <c r="AI7" i="7"/>
  <c r="AE7" i="6"/>
  <c r="AH7" i="7"/>
  <c r="G7" i="6"/>
  <c r="G7" i="7"/>
  <c r="F5" i="6"/>
  <c r="F5" i="7"/>
  <c r="U5" i="6"/>
  <c r="U5" i="7"/>
  <c r="AB5" i="6"/>
  <c r="AB5" i="7"/>
  <c r="AQ5" i="7"/>
  <c r="X25" i="6"/>
  <c r="X25" i="7"/>
  <c r="X12" i="6"/>
  <c r="X12" i="7"/>
  <c r="Y13" i="6"/>
  <c r="Y13" i="7"/>
  <c r="S28" i="5"/>
  <c r="P34" i="6"/>
  <c r="U34" i="7"/>
  <c r="Y17" i="6"/>
  <c r="Y17" i="7"/>
  <c r="Y16" i="6"/>
  <c r="Y16" i="7"/>
  <c r="Y29" i="6"/>
  <c r="Y29" i="7"/>
  <c r="Y8" i="6"/>
  <c r="Y8" i="7"/>
  <c r="Y5" i="6"/>
  <c r="Y5" i="7"/>
  <c r="Y7" i="6"/>
  <c r="Y7" i="7"/>
  <c r="Y10" i="6"/>
  <c r="Y10" i="7"/>
  <c r="AD25" i="6"/>
  <c r="AD25" i="7"/>
  <c r="AB12" i="6"/>
  <c r="AB12" i="7"/>
  <c r="AD22" i="6"/>
  <c r="AD22" i="7"/>
  <c r="Y31" i="6"/>
  <c r="Y31" i="7"/>
  <c r="Z20" i="6"/>
  <c r="Z20" i="7"/>
  <c r="Y24" i="6"/>
  <c r="Y24" i="7"/>
  <c r="AD18" i="6"/>
  <c r="AD18" i="7"/>
  <c r="AB17" i="6"/>
  <c r="AB17" i="7"/>
  <c r="X27" i="6"/>
  <c r="X27" i="7"/>
  <c r="AC23" i="6"/>
  <c r="AC23" i="7"/>
  <c r="Y21" i="6"/>
  <c r="Y21" i="7"/>
  <c r="AC27" i="6"/>
  <c r="AC27" i="7"/>
  <c r="AB29" i="6"/>
  <c r="AB29" i="7"/>
  <c r="AA31" i="6"/>
  <c r="AA31" i="7"/>
  <c r="AD14" i="6"/>
  <c r="AD14" i="7"/>
  <c r="AA16" i="6"/>
  <c r="AA16" i="7"/>
  <c r="Y34" i="6"/>
  <c r="Y34" i="7"/>
  <c r="AC7" i="6"/>
  <c r="AC7" i="7"/>
  <c r="Y34" i="5"/>
  <c r="V5" i="6"/>
  <c r="V5" i="7"/>
  <c r="AA34" i="6"/>
  <c r="AA34" i="7"/>
  <c r="AQ34" i="7"/>
  <c r="AC11" i="6"/>
  <c r="AC11" i="7"/>
  <c r="Z29" i="6"/>
  <c r="Z29" i="7"/>
  <c r="Y26" i="6"/>
  <c r="Y26" i="7"/>
  <c r="AD30" i="6"/>
  <c r="AD30" i="7"/>
  <c r="AQ30" i="7"/>
  <c r="AA5" i="6"/>
  <c r="AA5" i="7"/>
  <c r="Y6" i="6"/>
  <c r="Y6" i="7"/>
  <c r="AC13" i="6"/>
  <c r="AC13" i="7"/>
  <c r="Z15" i="6"/>
  <c r="Z15" i="7"/>
  <c r="AQ15" i="7"/>
  <c r="AD19" i="6"/>
  <c r="AD19" i="7"/>
  <c r="AB25" i="6"/>
  <c r="AB25" i="7"/>
  <c r="AA7" i="6"/>
  <c r="AA7" i="7"/>
  <c r="W11" i="6"/>
  <c r="W11" i="7"/>
  <c r="AQ11" i="7"/>
  <c r="X18" i="6"/>
  <c r="X18" i="7"/>
  <c r="X26" i="6"/>
  <c r="X26" i="7"/>
  <c r="W20" i="6"/>
  <c r="W20" i="7"/>
  <c r="W10" i="6"/>
  <c r="W10" i="7"/>
  <c r="W14" i="6"/>
  <c r="W14" i="7"/>
  <c r="X24" i="6"/>
  <c r="X24" i="7"/>
  <c r="X10" i="6"/>
  <c r="X10" i="7"/>
  <c r="X7" i="6"/>
  <c r="X7" i="7"/>
  <c r="C34" i="7"/>
  <c r="AK34" i="7"/>
  <c r="X16" i="6"/>
  <c r="X16" i="7"/>
  <c r="X5" i="6"/>
  <c r="X5" i="7"/>
  <c r="X13" i="6"/>
  <c r="X13" i="7"/>
  <c r="AQ13" i="7"/>
  <c r="X30" i="6"/>
  <c r="X30" i="7"/>
  <c r="W4" i="6"/>
  <c r="W4" i="7"/>
  <c r="W5" i="6"/>
  <c r="W5" i="7"/>
  <c r="W16" i="6"/>
  <c r="W16" i="7"/>
  <c r="AQ16" i="7"/>
  <c r="W31" i="6"/>
  <c r="W31" i="7"/>
  <c r="W18" i="6"/>
  <c r="W18" i="7"/>
  <c r="W24" i="6"/>
  <c r="W24" i="7"/>
  <c r="R17" i="5"/>
  <c r="O13" i="6"/>
  <c r="Q13" i="7"/>
  <c r="W12" i="6"/>
  <c r="W12" i="7"/>
  <c r="X4" i="5"/>
  <c r="U4" i="6"/>
  <c r="T4" i="7"/>
  <c r="W7" i="6"/>
  <c r="W7" i="7"/>
  <c r="AQ7" i="7"/>
  <c r="AD13" i="6"/>
  <c r="AD13" i="7"/>
  <c r="AC33" i="6"/>
  <c r="AC33" i="7"/>
  <c r="Z28" i="6"/>
  <c r="Z28" i="7"/>
  <c r="AB18" i="6"/>
  <c r="AB18" i="7"/>
  <c r="AQ18" i="7"/>
  <c r="Y15" i="6"/>
  <c r="Y15" i="7"/>
  <c r="AB26" i="6"/>
  <c r="AB26" i="7"/>
  <c r="T9" i="5"/>
  <c r="Q25" i="6"/>
  <c r="P25" i="7"/>
  <c r="Y33" i="6"/>
  <c r="Y33" i="7"/>
  <c r="Y23" i="6"/>
  <c r="Y23" i="7"/>
  <c r="X33" i="6"/>
  <c r="X33" i="7"/>
  <c r="R10" i="5"/>
  <c r="O19" i="6"/>
  <c r="Q19" i="7"/>
  <c r="Z27" i="6"/>
  <c r="Z27" i="7"/>
  <c r="Y14" i="6"/>
  <c r="Y14" i="7"/>
  <c r="AD12" i="6"/>
  <c r="AD12" i="7"/>
  <c r="W9" i="6"/>
  <c r="W9" i="7"/>
  <c r="AQ9" i="7"/>
  <c r="AC25" i="6"/>
  <c r="AC25" i="7"/>
  <c r="X20" i="6"/>
  <c r="X20" i="7"/>
  <c r="R12" i="5"/>
  <c r="AB21" i="6"/>
  <c r="AB21" i="7"/>
  <c r="X19" i="6"/>
  <c r="X19" i="7"/>
  <c r="U8" i="5"/>
  <c r="R24" i="6"/>
  <c r="S24" i="7"/>
  <c r="AC15" i="6"/>
  <c r="AC15" i="7"/>
  <c r="AB33" i="6"/>
  <c r="AB33" i="7"/>
  <c r="C20" i="7"/>
  <c r="AF20" i="7"/>
  <c r="R19" i="5"/>
  <c r="O21" i="6"/>
  <c r="Q21" i="7"/>
  <c r="W27" i="6"/>
  <c r="W27" i="7"/>
  <c r="W17" i="6"/>
  <c r="W17" i="7"/>
  <c r="W34" i="6"/>
  <c r="W34" i="7"/>
  <c r="W30" i="6"/>
  <c r="W30" i="7"/>
  <c r="W22" i="6"/>
  <c r="W22" i="7"/>
  <c r="R5" i="5"/>
  <c r="O33" i="6"/>
  <c r="Q33" i="7"/>
  <c r="AA15" i="6"/>
  <c r="AA15" i="7"/>
  <c r="V7" i="5"/>
  <c r="S15" i="6"/>
  <c r="O15" i="7"/>
  <c r="S6" i="5"/>
  <c r="P9" i="6"/>
  <c r="U9" i="7"/>
  <c r="X9" i="6"/>
  <c r="X9" i="7"/>
  <c r="AC19" i="6"/>
  <c r="AC19" i="7"/>
  <c r="X10" i="5"/>
  <c r="U19" i="6"/>
  <c r="T19" i="7"/>
  <c r="U5" i="5"/>
  <c r="R33" i="6"/>
  <c r="S33" i="7"/>
  <c r="Z33" i="6"/>
  <c r="Z33" i="7"/>
  <c r="AA33" i="6"/>
  <c r="AA33" i="7"/>
  <c r="V5" i="5"/>
  <c r="S33" i="6"/>
  <c r="O33" i="7"/>
  <c r="X15" i="6"/>
  <c r="X15" i="7"/>
  <c r="S7" i="5"/>
  <c r="P15" i="6"/>
  <c r="U15" i="7"/>
  <c r="AA9" i="6"/>
  <c r="AA9" i="7"/>
  <c r="V6" i="5"/>
  <c r="S9" i="6"/>
  <c r="O9" i="7"/>
  <c r="Y4" i="5"/>
  <c r="V4" i="6"/>
  <c r="V4" i="7"/>
  <c r="AD4" i="6"/>
  <c r="AD4" i="7"/>
  <c r="AB9" i="6"/>
  <c r="AB9" i="7"/>
  <c r="W6" i="5"/>
  <c r="T9" i="6"/>
  <c r="R9" i="7"/>
  <c r="W8" i="5"/>
  <c r="T24" i="6"/>
  <c r="R24" i="7"/>
  <c r="AB24" i="6"/>
  <c r="AB24" i="7"/>
  <c r="X4" i="6"/>
  <c r="X4" i="7"/>
  <c r="Y5" i="5"/>
  <c r="V33" i="6"/>
  <c r="V33" i="7"/>
  <c r="AD33" i="6"/>
  <c r="AD33" i="7"/>
  <c r="S12" i="5"/>
  <c r="Z9" i="6"/>
  <c r="Z9" i="7"/>
  <c r="X12" i="5"/>
  <c r="T6" i="5"/>
  <c r="Q9" i="6"/>
  <c r="P9" i="7"/>
  <c r="AA19" i="6"/>
  <c r="AA19" i="7"/>
  <c r="W15" i="6"/>
  <c r="W15" i="7"/>
  <c r="W23" i="6"/>
  <c r="W23" i="7"/>
  <c r="AQ23" i="7"/>
  <c r="T4" i="5"/>
  <c r="Q4" i="6"/>
  <c r="P4" i="7"/>
  <c r="AA4" i="6"/>
  <c r="AA4" i="7"/>
  <c r="W4" i="5"/>
  <c r="T4" i="6"/>
  <c r="R4" i="7"/>
  <c r="Z4" i="6"/>
  <c r="Z4" i="7"/>
  <c r="W25" i="6"/>
  <c r="W25" i="7"/>
  <c r="W26" i="6"/>
  <c r="W26" i="7"/>
  <c r="R27" i="5"/>
  <c r="O29" i="6"/>
  <c r="Q29" i="7"/>
  <c r="W28" i="6"/>
  <c r="W28" i="7"/>
  <c r="AJ25" i="6"/>
  <c r="AI25" i="6"/>
  <c r="AH25" i="6"/>
  <c r="AI10" i="6"/>
  <c r="AI15" i="6"/>
  <c r="AJ28" i="6"/>
  <c r="AH20" i="6"/>
  <c r="AH10" i="6"/>
  <c r="C28" i="7"/>
  <c r="AF28" i="7"/>
  <c r="AH7" i="6"/>
  <c r="AJ20" i="6"/>
  <c r="AJ29" i="6"/>
  <c r="AJ10" i="6"/>
  <c r="AH28" i="6"/>
  <c r="AI9" i="6"/>
  <c r="AH29" i="6"/>
  <c r="C12" i="7"/>
  <c r="C14" i="7"/>
  <c r="AK14" i="7"/>
  <c r="AG14" i="7"/>
  <c r="AI14" i="6"/>
  <c r="AI21" i="6"/>
  <c r="AH14" i="6"/>
  <c r="AI7" i="6"/>
  <c r="AJ15" i="6"/>
  <c r="AI26" i="6"/>
  <c r="AJ21" i="6"/>
  <c r="C15" i="7"/>
  <c r="AK15" i="7"/>
  <c r="AE15" i="7"/>
  <c r="AJ27" i="6"/>
  <c r="AH26" i="6"/>
  <c r="C29" i="7"/>
  <c r="AE29" i="7"/>
  <c r="C27" i="7"/>
  <c r="AK27" i="7"/>
  <c r="AH18" i="6"/>
  <c r="AF5" i="6"/>
  <c r="AI5" i="7"/>
  <c r="C26" i="7"/>
  <c r="AK26" i="7"/>
  <c r="AE26" i="7"/>
  <c r="AH21" i="6"/>
  <c r="C7" i="7"/>
  <c r="AK7" i="7"/>
  <c r="AI23" i="6"/>
  <c r="C5" i="7"/>
  <c r="AF5" i="7"/>
  <c r="AJ23" i="6"/>
  <c r="AJ5" i="6"/>
  <c r="AI5" i="6"/>
  <c r="C23" i="7"/>
  <c r="AK23" i="7"/>
  <c r="AI17" i="6"/>
  <c r="AI11" i="6"/>
  <c r="AH11" i="6"/>
  <c r="C11" i="7"/>
  <c r="AG11" i="7"/>
  <c r="AL32" i="6"/>
  <c r="Q32" i="7"/>
  <c r="AH17" i="6"/>
  <c r="C17" i="7"/>
  <c r="AK17" i="7"/>
  <c r="AG17" i="7"/>
  <c r="AM32" i="6"/>
  <c r="C32" i="7"/>
  <c r="AK32" i="7"/>
  <c r="AG32" i="7"/>
  <c r="AH33" i="6"/>
  <c r="AI33" i="6"/>
  <c r="AI16" i="6"/>
  <c r="C9" i="7"/>
  <c r="AG9" i="7"/>
  <c r="AH9" i="6"/>
  <c r="AJ12" i="6"/>
  <c r="C16" i="7"/>
  <c r="AK16" i="7"/>
  <c r="AH16" i="6"/>
  <c r="AI31" i="6"/>
  <c r="AH32" i="6"/>
  <c r="AI27" i="6"/>
  <c r="AJ31" i="6"/>
  <c r="C33" i="7"/>
  <c r="AK33" i="7"/>
  <c r="AG33" i="7"/>
  <c r="C18" i="7"/>
  <c r="AK18" i="7"/>
  <c r="AE18" i="7"/>
  <c r="AI32" i="6"/>
  <c r="AH12" i="6"/>
  <c r="AH31" i="6"/>
  <c r="AI18" i="6"/>
  <c r="AH34" i="6"/>
  <c r="AG34" i="7"/>
  <c r="AI34" i="6"/>
  <c r="O1" i="6"/>
  <c r="R1" i="6"/>
  <c r="S4" i="7"/>
  <c r="AL4" i="6"/>
  <c r="P1" i="6"/>
  <c r="AM16" i="6"/>
  <c r="V1" i="6"/>
  <c r="AM26" i="6"/>
  <c r="AH30" i="6"/>
  <c r="U1" i="6"/>
  <c r="C30" i="7"/>
  <c r="AK30" i="7"/>
  <c r="AF30" i="7"/>
  <c r="T1" i="6"/>
  <c r="U4" i="7"/>
  <c r="AM4" i="6"/>
  <c r="S1" i="6"/>
  <c r="AI30" i="6"/>
  <c r="Q1" i="6"/>
  <c r="Q4" i="7"/>
  <c r="AG31" i="7"/>
  <c r="AE31" i="7"/>
  <c r="AM10" i="6"/>
  <c r="AG20" i="7"/>
  <c r="AM7" i="6"/>
  <c r="AF14" i="7"/>
  <c r="AM23" i="6"/>
  <c r="AM25" i="6"/>
  <c r="AM17" i="6"/>
  <c r="AM15" i="6"/>
  <c r="V6" i="6"/>
  <c r="V6" i="7"/>
  <c r="W8" i="6"/>
  <c r="H6" i="6"/>
  <c r="H6" i="7"/>
  <c r="K6" i="6"/>
  <c r="K6" i="7"/>
  <c r="AC8" i="6"/>
  <c r="AC8" i="7"/>
  <c r="M6" i="6"/>
  <c r="M6" i="7"/>
  <c r="AA6" i="6"/>
  <c r="AA6" i="7"/>
  <c r="T8" i="6"/>
  <c r="R8" i="7"/>
  <c r="AP8" i="7"/>
  <c r="Q7" i="6"/>
  <c r="P7" i="7"/>
  <c r="Q5" i="6"/>
  <c r="Q8" i="6"/>
  <c r="P8" i="7"/>
  <c r="U6" i="6"/>
  <c r="T6" i="7"/>
  <c r="O6" i="6"/>
  <c r="Z8" i="6"/>
  <c r="Z8" i="7"/>
  <c r="H8" i="6"/>
  <c r="H8" i="7"/>
  <c r="J8" i="6"/>
  <c r="J8" i="7"/>
  <c r="AF6" i="6"/>
  <c r="AI6" i="7"/>
  <c r="D8" i="6"/>
  <c r="D8" i="7"/>
  <c r="E8" i="6"/>
  <c r="E8" i="7"/>
  <c r="Q6" i="6"/>
  <c r="P6" i="7"/>
  <c r="O8" i="6"/>
  <c r="T7" i="6"/>
  <c r="R7" i="7"/>
  <c r="X6" i="6"/>
  <c r="X6" i="7"/>
  <c r="V8" i="6"/>
  <c r="V8" i="7"/>
  <c r="AG6" i="6"/>
  <c r="AJ6" i="7"/>
  <c r="AF8" i="6"/>
  <c r="AI8" i="7"/>
  <c r="N6" i="6"/>
  <c r="N6" i="7"/>
  <c r="AD6" i="6"/>
  <c r="AD6" i="7"/>
  <c r="F8" i="6"/>
  <c r="F8" i="7"/>
  <c r="I8" i="6"/>
  <c r="I8" i="7"/>
  <c r="T6" i="6"/>
  <c r="R6" i="7"/>
  <c r="AP6" i="7"/>
  <c r="R8" i="6"/>
  <c r="S8" i="7"/>
  <c r="O7" i="6"/>
  <c r="O5" i="6"/>
  <c r="O5" i="7"/>
  <c r="AP5" i="7"/>
  <c r="AD5" i="6"/>
  <c r="AD5" i="7"/>
  <c r="AB8" i="6"/>
  <c r="AB8" i="7"/>
  <c r="E6" i="6"/>
  <c r="E6" i="7"/>
  <c r="J6" i="6"/>
  <c r="J6" i="7"/>
  <c r="AA8" i="6"/>
  <c r="AA8" i="7"/>
  <c r="C8" i="6"/>
  <c r="D6" i="6"/>
  <c r="D6" i="7"/>
  <c r="K8" i="6"/>
  <c r="K8" i="7"/>
  <c r="R7" i="6"/>
  <c r="S7" i="7"/>
  <c r="P6" i="6"/>
  <c r="U6" i="7"/>
  <c r="L8" i="6"/>
  <c r="L8" i="7"/>
  <c r="G6" i="6"/>
  <c r="G6" i="7"/>
  <c r="N8" i="6"/>
  <c r="N8" i="7"/>
  <c r="AB6" i="6"/>
  <c r="AB6" i="7"/>
  <c r="AQ6" i="7"/>
  <c r="W6" i="6"/>
  <c r="R6" i="6"/>
  <c r="S6" i="7"/>
  <c r="P8" i="6"/>
  <c r="U8" i="7"/>
  <c r="U8" i="6"/>
  <c r="T8" i="7"/>
  <c r="U7" i="6"/>
  <c r="T7" i="7"/>
  <c r="L6" i="6"/>
  <c r="L6" i="7"/>
  <c r="AE6" i="6"/>
  <c r="AH6" i="7"/>
  <c r="AD8" i="6"/>
  <c r="AD8" i="7"/>
  <c r="X8" i="6"/>
  <c r="X8" i="7"/>
  <c r="AE8" i="6"/>
  <c r="AH8" i="7"/>
  <c r="AC6" i="6"/>
  <c r="AC6" i="7"/>
  <c r="S8" i="6"/>
  <c r="O8" i="7"/>
  <c r="P7" i="6"/>
  <c r="U7" i="7"/>
  <c r="P5" i="6"/>
  <c r="P5" i="7"/>
  <c r="S5" i="6"/>
  <c r="S5" i="7"/>
  <c r="AG8" i="6"/>
  <c r="AJ8" i="7"/>
  <c r="S6" i="6"/>
  <c r="O6" i="7"/>
  <c r="M8" i="6"/>
  <c r="M8" i="7"/>
  <c r="C6" i="6"/>
  <c r="G8" i="6"/>
  <c r="G8" i="7"/>
  <c r="AC5" i="6"/>
  <c r="AC5" i="7"/>
  <c r="Z6" i="6"/>
  <c r="Z6" i="7"/>
  <c r="F6" i="6"/>
  <c r="F6" i="7"/>
  <c r="AG10" i="7"/>
  <c r="AM20" i="6"/>
  <c r="P13" i="6"/>
  <c r="O17" i="6"/>
  <c r="S17" i="6"/>
  <c r="O17" i="7"/>
  <c r="Q30" i="6"/>
  <c r="P30" i="7"/>
  <c r="R21" i="6"/>
  <c r="S21" i="7"/>
  <c r="U15" i="6"/>
  <c r="T15" i="7"/>
  <c r="P24" i="6"/>
  <c r="U24" i="7"/>
  <c r="U21" i="6"/>
  <c r="T21" i="7"/>
  <c r="W29" i="6"/>
  <c r="W33" i="6"/>
  <c r="T33" i="6"/>
  <c r="R33" i="7"/>
  <c r="Q23" i="6"/>
  <c r="P23" i="7"/>
  <c r="P33" i="6"/>
  <c r="P28" i="6"/>
  <c r="U28" i="7"/>
  <c r="U13" i="6"/>
  <c r="T13" i="7"/>
  <c r="O18" i="6"/>
  <c r="V30" i="6"/>
  <c r="V30" i="7"/>
  <c r="R19" i="6"/>
  <c r="S19" i="7"/>
  <c r="J11" i="6"/>
  <c r="J11" i="7"/>
  <c r="C22" i="6"/>
  <c r="C19" i="6"/>
  <c r="T31" i="6"/>
  <c r="R31" i="7"/>
  <c r="U24" i="6"/>
  <c r="T24" i="7"/>
  <c r="U22" i="6"/>
  <c r="T22" i="7"/>
  <c r="R17" i="6"/>
  <c r="S17" i="7"/>
  <c r="AC18" i="6"/>
  <c r="J14" i="6"/>
  <c r="J14" i="7"/>
  <c r="H33" i="6"/>
  <c r="H33" i="7"/>
  <c r="L30" i="6"/>
  <c r="L30" i="7"/>
  <c r="M29" i="6"/>
  <c r="M29" i="7"/>
  <c r="AD28" i="6"/>
  <c r="AD28" i="7"/>
  <c r="J19" i="6"/>
  <c r="J19" i="7"/>
  <c r="AQ19" i="7"/>
  <c r="K10" i="6"/>
  <c r="K10" i="7"/>
  <c r="AG12" i="6"/>
  <c r="M15" i="6"/>
  <c r="M15" i="7"/>
  <c r="N31" i="6"/>
  <c r="N31" i="7"/>
  <c r="Z22" i="6"/>
  <c r="Z22" i="7"/>
  <c r="L15" i="6"/>
  <c r="L15" i="7"/>
  <c r="R12" i="6"/>
  <c r="Z31" i="6"/>
  <c r="AG33" i="6"/>
  <c r="AJ33" i="7"/>
  <c r="D31" i="6"/>
  <c r="D31" i="7"/>
  <c r="G11" i="6"/>
  <c r="G11" i="7"/>
  <c r="P21" i="6"/>
  <c r="C13" i="6"/>
  <c r="T19" i="6"/>
  <c r="R19" i="7"/>
  <c r="AC14" i="6"/>
  <c r="G15" i="6"/>
  <c r="G15" i="7"/>
  <c r="M23" i="6"/>
  <c r="M23" i="7"/>
  <c r="K14" i="6"/>
  <c r="K14" i="7"/>
  <c r="AF11" i="6"/>
  <c r="AI11" i="7"/>
  <c r="L29" i="6"/>
  <c r="L29" i="7"/>
  <c r="J21" i="6"/>
  <c r="J21" i="7"/>
  <c r="AA28" i="6"/>
  <c r="S27" i="6"/>
  <c r="O27" i="7"/>
  <c r="I24" i="6"/>
  <c r="I24" i="7"/>
  <c r="K15" i="6"/>
  <c r="K15" i="7"/>
  <c r="C24" i="6"/>
  <c r="F29" i="6"/>
  <c r="F29" i="7"/>
  <c r="AF22" i="6"/>
  <c r="AI22" i="7"/>
  <c r="D15" i="6"/>
  <c r="D15" i="7"/>
  <c r="G28" i="6"/>
  <c r="G28" i="7"/>
  <c r="AA11" i="6"/>
  <c r="AA11" i="7"/>
  <c r="Y22" i="6"/>
  <c r="Y22" i="7"/>
  <c r="AQ22" i="7"/>
  <c r="AF28" i="6"/>
  <c r="AI28" i="7"/>
  <c r="AD27" i="6"/>
  <c r="AB22" i="6"/>
  <c r="AB22" i="7"/>
  <c r="L33" i="6"/>
  <c r="L33" i="7"/>
  <c r="AF31" i="6"/>
  <c r="AI31" i="7"/>
  <c r="E12" i="6"/>
  <c r="E12" i="7"/>
  <c r="R14" i="6"/>
  <c r="S14" i="7"/>
  <c r="D29" i="6"/>
  <c r="D29" i="7"/>
  <c r="V15" i="6"/>
  <c r="V15" i="7"/>
  <c r="K33" i="6"/>
  <c r="K33" i="7"/>
  <c r="H15" i="6"/>
  <c r="H15" i="7"/>
  <c r="G19" i="6"/>
  <c r="G19" i="7"/>
  <c r="AE31" i="6"/>
  <c r="AH31" i="7"/>
  <c r="I19" i="6"/>
  <c r="I19" i="7"/>
  <c r="AC30" i="6"/>
  <c r="AC30" i="7"/>
  <c r="AE12" i="6"/>
  <c r="AE14" i="6"/>
  <c r="AH14" i="7"/>
  <c r="Y12" i="6"/>
  <c r="Y12" i="7"/>
  <c r="J31" i="6"/>
  <c r="J31" i="7"/>
  <c r="D13" i="6"/>
  <c r="D13" i="7"/>
  <c r="R22" i="6"/>
  <c r="S22" i="7"/>
  <c r="V11" i="6"/>
  <c r="V11" i="7"/>
  <c r="Q19" i="6"/>
  <c r="P19" i="7"/>
  <c r="Q31" i="6"/>
  <c r="P31" i="7"/>
  <c r="O27" i="6"/>
  <c r="Z24" i="6"/>
  <c r="T18" i="6"/>
  <c r="R18" i="7"/>
  <c r="V17" i="6"/>
  <c r="V17" i="7"/>
  <c r="U29" i="6"/>
  <c r="T29" i="7"/>
  <c r="U14" i="6"/>
  <c r="T14" i="7"/>
  <c r="O25" i="6"/>
  <c r="O31" i="6"/>
  <c r="R26" i="6"/>
  <c r="S26" i="7"/>
  <c r="U26" i="6"/>
  <c r="T26" i="7"/>
  <c r="R27" i="6"/>
  <c r="S27" i="7"/>
  <c r="AP27" i="7"/>
  <c r="U27" i="6"/>
  <c r="T27" i="7"/>
  <c r="V14" i="6"/>
  <c r="V14" i="7"/>
  <c r="S13" i="6"/>
  <c r="O13" i="7"/>
  <c r="P12" i="6"/>
  <c r="Q21" i="6"/>
  <c r="P21" i="7"/>
  <c r="U20" i="6"/>
  <c r="T20" i="7"/>
  <c r="R18" i="6"/>
  <c r="S18" i="7"/>
  <c r="O23" i="6"/>
  <c r="U23" i="6"/>
  <c r="T23" i="7"/>
  <c r="Q16" i="6"/>
  <c r="P16" i="7"/>
  <c r="P29" i="6"/>
  <c r="X34" i="6"/>
  <c r="S34" i="6"/>
  <c r="O34" i="7"/>
  <c r="Q10" i="6"/>
  <c r="P10" i="7"/>
  <c r="AP10" i="7"/>
  <c r="T30" i="6"/>
  <c r="R30" i="7"/>
  <c r="Q11" i="6"/>
  <c r="P11" i="7"/>
  <c r="Q22" i="6"/>
  <c r="P22" i="7"/>
  <c r="T22" i="6"/>
  <c r="R22" i="7"/>
  <c r="AP22" i="7"/>
  <c r="O15" i="6"/>
  <c r="R25" i="6"/>
  <c r="S25" i="7"/>
  <c r="W19" i="6"/>
  <c r="Q28" i="6"/>
  <c r="P28" i="7"/>
  <c r="T28" i="6"/>
  <c r="R28" i="7"/>
  <c r="R31" i="6"/>
  <c r="S31" i="7"/>
  <c r="S14" i="6"/>
  <c r="O14" i="7"/>
  <c r="V13" i="6"/>
  <c r="V13" i="7"/>
  <c r="U18" i="6"/>
  <c r="T18" i="7"/>
  <c r="R23" i="6"/>
  <c r="S23" i="7"/>
  <c r="S29" i="6"/>
  <c r="O29" i="7"/>
  <c r="O30" i="6"/>
  <c r="T11" i="6"/>
  <c r="R11" i="7"/>
  <c r="Q33" i="6"/>
  <c r="P33" i="7"/>
  <c r="U33" i="6"/>
  <c r="T33" i="7"/>
  <c r="U9" i="6"/>
  <c r="Q24" i="6"/>
  <c r="P24" i="7"/>
  <c r="U25" i="6"/>
  <c r="T25" i="7"/>
  <c r="S19" i="6"/>
  <c r="O19" i="7"/>
  <c r="P26" i="6"/>
  <c r="P27" i="6"/>
  <c r="U27" i="7"/>
  <c r="P14" i="6"/>
  <c r="Q13" i="6"/>
  <c r="P13" i="7"/>
  <c r="AP13" i="7"/>
  <c r="T12" i="6"/>
  <c r="P20" i="6"/>
  <c r="S20" i="6"/>
  <c r="O20" i="7"/>
  <c r="P18" i="6"/>
  <c r="U18" i="7"/>
  <c r="T17" i="6"/>
  <c r="R17" i="7"/>
  <c r="AP17" i="7"/>
  <c r="O16" i="6"/>
  <c r="U16" i="6"/>
  <c r="T16" i="7"/>
  <c r="Q34" i="6"/>
  <c r="P34" i="7"/>
  <c r="O10" i="6"/>
  <c r="U10" i="6"/>
  <c r="T10" i="7"/>
  <c r="R30" i="6"/>
  <c r="S30" i="7"/>
  <c r="O11" i="6"/>
  <c r="T15" i="6"/>
  <c r="R15" i="7"/>
  <c r="P25" i="6"/>
  <c r="U25" i="7"/>
  <c r="P19" i="6"/>
  <c r="O28" i="6"/>
  <c r="P31" i="6"/>
  <c r="U31" i="7"/>
  <c r="V31" i="6"/>
  <c r="V31" i="7"/>
  <c r="V26" i="6"/>
  <c r="V26" i="7"/>
  <c r="V27" i="6"/>
  <c r="V27" i="7"/>
  <c r="T13" i="6"/>
  <c r="R13" i="7"/>
  <c r="S21" i="6"/>
  <c r="O21" i="7"/>
  <c r="V20" i="6"/>
  <c r="V20" i="7"/>
  <c r="S18" i="6"/>
  <c r="O18" i="7"/>
  <c r="P23" i="6"/>
  <c r="U23" i="7"/>
  <c r="V23" i="6"/>
  <c r="V23" i="7"/>
  <c r="Q29" i="6"/>
  <c r="P29" i="7"/>
  <c r="U30" i="6"/>
  <c r="T30" i="7"/>
  <c r="R11" i="6"/>
  <c r="S11" i="7"/>
  <c r="O22" i="6"/>
  <c r="Y9" i="6"/>
  <c r="O24" i="6"/>
  <c r="V24" i="6"/>
  <c r="V24" i="7"/>
  <c r="AP24" i="7"/>
  <c r="S25" i="6"/>
  <c r="O25" i="7"/>
  <c r="R28" i="6"/>
  <c r="S28" i="7"/>
  <c r="S31" i="6"/>
  <c r="O31" i="7"/>
  <c r="T14" i="6"/>
  <c r="R14" i="7"/>
  <c r="W21" i="6"/>
  <c r="T21" i="6"/>
  <c r="R21" i="7"/>
  <c r="V18" i="6"/>
  <c r="V18" i="7"/>
  <c r="T29" i="6"/>
  <c r="R29" i="7"/>
  <c r="O34" i="6"/>
  <c r="V34" i="6"/>
  <c r="V34" i="7"/>
  <c r="P30" i="6"/>
  <c r="U30" i="7"/>
  <c r="U11" i="6"/>
  <c r="T11" i="7"/>
  <c r="V22" i="6"/>
  <c r="V22" i="7"/>
  <c r="V9" i="6"/>
  <c r="V9" i="7"/>
  <c r="Q15" i="6"/>
  <c r="P15" i="7"/>
  <c r="V25" i="6"/>
  <c r="V25" i="7"/>
  <c r="Q26" i="6"/>
  <c r="P26" i="7"/>
  <c r="AP26" i="7"/>
  <c r="T26" i="6"/>
  <c r="R26" i="7"/>
  <c r="Q27" i="6"/>
  <c r="P27" i="7"/>
  <c r="T27" i="6"/>
  <c r="R27" i="7"/>
  <c r="Q14" i="6"/>
  <c r="P14" i="7"/>
  <c r="AP14" i="7"/>
  <c r="W13" i="6"/>
  <c r="R13" i="6"/>
  <c r="S13" i="7"/>
  <c r="O12" i="6"/>
  <c r="Z12" i="6"/>
  <c r="Z12" i="7"/>
  <c r="V12" i="6"/>
  <c r="V12" i="7"/>
  <c r="AP12" i="7"/>
  <c r="T20" i="6"/>
  <c r="R20" i="7"/>
  <c r="AP20" i="7"/>
  <c r="Q18" i="6"/>
  <c r="P18" i="7"/>
  <c r="P16" i="6"/>
  <c r="U16" i="7"/>
  <c r="S16" i="6"/>
  <c r="O16" i="7"/>
  <c r="R34" i="6"/>
  <c r="S34" i="7"/>
  <c r="P10" i="6"/>
  <c r="U10" i="7"/>
  <c r="S10" i="6"/>
  <c r="O10" i="7"/>
  <c r="V10" i="6"/>
  <c r="V10" i="7"/>
  <c r="S30" i="6"/>
  <c r="O30" i="7"/>
  <c r="P11" i="6"/>
  <c r="U11" i="7"/>
  <c r="AE27" i="7"/>
  <c r="AF27" i="7"/>
  <c r="AE5" i="7"/>
  <c r="AE11" i="7"/>
  <c r="AF11" i="7"/>
  <c r="Q5" i="7"/>
  <c r="AM30" i="6"/>
  <c r="AM12" i="6"/>
  <c r="AH8" i="6"/>
  <c r="C8" i="7"/>
  <c r="AG8" i="7"/>
  <c r="AJ8" i="6"/>
  <c r="AI8" i="6"/>
  <c r="AM5" i="6"/>
  <c r="AM8" i="6"/>
  <c r="W8" i="7"/>
  <c r="W6" i="7"/>
  <c r="AM6" i="6"/>
  <c r="Q8" i="7"/>
  <c r="AL8" i="6"/>
  <c r="AJ6" i="6"/>
  <c r="AH6" i="6"/>
  <c r="AI6" i="6"/>
  <c r="C6" i="7"/>
  <c r="AK6" i="7"/>
  <c r="AG6" i="7"/>
  <c r="AL5" i="6"/>
  <c r="Q6" i="7"/>
  <c r="AL6" i="6"/>
  <c r="Q7" i="7"/>
  <c r="AL7" i="6"/>
  <c r="Q34" i="7"/>
  <c r="AL34" i="6"/>
  <c r="AA28" i="7"/>
  <c r="AM28" i="6"/>
  <c r="AL12" i="6"/>
  <c r="Q10" i="7"/>
  <c r="AL10" i="6"/>
  <c r="AL9" i="6"/>
  <c r="AJ13" i="6"/>
  <c r="AI13" i="6"/>
  <c r="C13" i="7"/>
  <c r="AK13" i="7"/>
  <c r="AF13" i="7"/>
  <c r="AH13" i="6"/>
  <c r="C19" i="7"/>
  <c r="AK19" i="7"/>
  <c r="AF19" i="7"/>
  <c r="AJ19" i="6"/>
  <c r="AI19" i="6"/>
  <c r="AH19" i="6"/>
  <c r="U33" i="7"/>
  <c r="AL33" i="6"/>
  <c r="AM22" i="6"/>
  <c r="Q24" i="7"/>
  <c r="AL24" i="6"/>
  <c r="Q28" i="7"/>
  <c r="AL28" i="6"/>
  <c r="U21" i="7"/>
  <c r="AL21" i="6"/>
  <c r="AJ22" i="6"/>
  <c r="C22" i="7"/>
  <c r="AE22" i="7"/>
  <c r="AI22" i="6"/>
  <c r="AH22" i="6"/>
  <c r="Q15" i="7"/>
  <c r="AP15" i="7"/>
  <c r="AL15" i="6"/>
  <c r="Y9" i="7"/>
  <c r="AM9" i="6"/>
  <c r="U19" i="7"/>
  <c r="AL19" i="6"/>
  <c r="U14" i="7"/>
  <c r="AL14" i="6"/>
  <c r="Q23" i="7"/>
  <c r="AL23" i="6"/>
  <c r="AM11" i="6"/>
  <c r="U29" i="7"/>
  <c r="AP29" i="7"/>
  <c r="AL29" i="6"/>
  <c r="W13" i="7"/>
  <c r="AM13" i="6"/>
  <c r="W21" i="7"/>
  <c r="AM21" i="6"/>
  <c r="Q22" i="7"/>
  <c r="AL22" i="6"/>
  <c r="Q16" i="7"/>
  <c r="AP16" i="7"/>
  <c r="AL16" i="6"/>
  <c r="Z24" i="7"/>
  <c r="AM24" i="6"/>
  <c r="AD27" i="7"/>
  <c r="AM27" i="6"/>
  <c r="AJ24" i="6"/>
  <c r="C24" i="7"/>
  <c r="AK24" i="7"/>
  <c r="AG24" i="7"/>
  <c r="AH24" i="6"/>
  <c r="AI24" i="6"/>
  <c r="AC18" i="7"/>
  <c r="AM18" i="6"/>
  <c r="W33" i="7"/>
  <c r="AM33" i="6"/>
  <c r="Q17" i="7"/>
  <c r="AL17" i="6"/>
  <c r="U26" i="7"/>
  <c r="AL26" i="6"/>
  <c r="Q30" i="7"/>
  <c r="AL30" i="6"/>
  <c r="Q27" i="7"/>
  <c r="AL27" i="6"/>
  <c r="W29" i="7"/>
  <c r="AM29" i="6"/>
  <c r="U13" i="7"/>
  <c r="AL13" i="6"/>
  <c r="Q11" i="7"/>
  <c r="AP11" i="7"/>
  <c r="AL11" i="6"/>
  <c r="W19" i="7"/>
  <c r="AM19" i="6"/>
  <c r="Q31" i="7"/>
  <c r="AL31" i="6"/>
  <c r="Z31" i="7"/>
  <c r="AM31" i="6"/>
  <c r="Q18" i="7"/>
  <c r="AL18" i="6"/>
  <c r="U20" i="7"/>
  <c r="AL20" i="6"/>
  <c r="X34" i="7"/>
  <c r="AM34" i="6"/>
  <c r="Q25" i="7"/>
  <c r="AP25" i="7"/>
  <c r="AL25" i="6"/>
  <c r="AC14" i="7"/>
  <c r="AM14" i="6"/>
  <c r="AE19" i="7"/>
  <c r="AF10" i="7"/>
  <c r="AE20" i="7"/>
  <c r="AE32" i="7"/>
  <c r="AF32" i="7"/>
  <c r="AG21" i="7"/>
  <c r="AQ28" i="7"/>
  <c r="AF15" i="7"/>
  <c r="AG15" i="7"/>
  <c r="AG29" i="7"/>
  <c r="AF24" i="7"/>
  <c r="AG26" i="7"/>
  <c r="AF16" i="7"/>
  <c r="AF7" i="7"/>
  <c r="AE16" i="7"/>
  <c r="AE14" i="7"/>
  <c r="AP9" i="7"/>
  <c r="AE34" i="7"/>
  <c r="AG30" i="7"/>
  <c r="AF26" i="7"/>
  <c r="AG7" i="7"/>
  <c r="AQ10" i="7"/>
  <c r="AQ17" i="7"/>
  <c r="AP18" i="7"/>
  <c r="AP33" i="7"/>
  <c r="AF33" i="7"/>
  <c r="AE33" i="7"/>
  <c r="AP31" i="7"/>
  <c r="AQ29" i="7"/>
  <c r="AF17" i="7"/>
  <c r="AE13" i="7"/>
  <c r="AE17" i="7"/>
  <c r="AQ24" i="7"/>
  <c r="AQ21" i="7"/>
  <c r="AP23" i="7"/>
  <c r="AQ25" i="7"/>
  <c r="AQ27" i="7"/>
  <c r="AE9" i="7"/>
  <c r="AQ20" i="7"/>
  <c r="AQ14" i="7"/>
  <c r="AQ4" i="7"/>
  <c r="AG13" i="7"/>
  <c r="AQ8" i="7"/>
  <c r="AE24" i="7"/>
  <c r="AP34" i="7"/>
  <c r="AF23" i="7"/>
  <c r="AF29" i="7"/>
  <c r="AQ33" i="7"/>
  <c r="AE6" i="7"/>
  <c r="AG23" i="7"/>
  <c r="AP30" i="7"/>
  <c r="AP19" i="7"/>
  <c r="AQ31" i="7"/>
  <c r="AF6" i="7"/>
  <c r="AE30" i="7"/>
  <c r="AP4" i="7"/>
  <c r="AP21" i="7"/>
  <c r="AF9" i="7"/>
  <c r="AE28" i="7"/>
  <c r="AF18" i="7"/>
  <c r="AG18" i="7"/>
  <c r="AG28" i="7"/>
  <c r="AF21" i="7"/>
  <c r="AF22" i="7"/>
  <c r="AE10" i="7"/>
  <c r="AK21" i="7"/>
  <c r="AK29" i="7"/>
  <c r="AE23" i="7"/>
  <c r="AE7" i="7"/>
  <c r="AG27" i="7"/>
  <c r="AK22" i="7"/>
  <c r="AG25" i="7"/>
  <c r="AK5" i="7"/>
  <c r="AE8" i="7"/>
  <c r="AG22" i="7"/>
  <c r="AG19" i="7"/>
  <c r="AG16" i="7"/>
  <c r="AK25" i="7"/>
  <c r="AF8" i="7"/>
  <c r="AF25" i="7"/>
  <c r="AF34" i="7"/>
  <c r="AK8" i="7"/>
  <c r="AG5" i="7"/>
</calcChain>
</file>

<file path=xl/sharedStrings.xml><?xml version="1.0" encoding="utf-8"?>
<sst xmlns="http://schemas.openxmlformats.org/spreadsheetml/2006/main" count="787" uniqueCount="116">
  <si>
    <t>2025.02.10 01:33:31</t>
  </si>
  <si>
    <t>产品-品牌</t>
  </si>
  <si>
    <t>1.0元香爆脆</t>
  </si>
  <si>
    <t>营业部(顶益双管理)</t>
  </si>
  <si>
    <t>结果</t>
  </si>
  <si>
    <t>哈尔滨营业部</t>
  </si>
  <si>
    <t>宾县外埠所</t>
  </si>
  <si>
    <t>哈尔滨OT所</t>
  </si>
  <si>
    <t>哈尔滨城区北所</t>
  </si>
  <si>
    <t>哈尔滨综合东所</t>
  </si>
  <si>
    <t>哈尔滨综合西所</t>
  </si>
  <si>
    <t>哈尔滨综合中所</t>
  </si>
  <si>
    <t>五常外埠所</t>
  </si>
  <si>
    <t>#</t>
  </si>
  <si>
    <t>黑东营业部</t>
  </si>
  <si>
    <t>鹤岗城区所</t>
  </si>
  <si>
    <t>鸡西城区所</t>
  </si>
  <si>
    <t>佳木斯城区所</t>
  </si>
  <si>
    <t>牡丹江城区所</t>
  </si>
  <si>
    <t>七台河外埠所</t>
  </si>
  <si>
    <t>双鸭山城区所</t>
  </si>
  <si>
    <t>双鸭山外埠所</t>
  </si>
  <si>
    <t>黑西营业部</t>
  </si>
  <si>
    <t>海拉尔城区所</t>
  </si>
  <si>
    <t>呼盟外埠所</t>
  </si>
  <si>
    <t>龙江外埠所</t>
  </si>
  <si>
    <t>齐齐哈尔城区所</t>
  </si>
  <si>
    <t>兴安外埠所</t>
  </si>
  <si>
    <t>黑中营业部</t>
  </si>
  <si>
    <t>大庆城区东所</t>
  </si>
  <si>
    <t>大庆城区西所</t>
  </si>
  <si>
    <t>海伦外埠所</t>
  </si>
  <si>
    <t>伊春外埠所</t>
  </si>
  <si>
    <t>肇东外埠所</t>
  </si>
  <si>
    <t>黑龙电商组(DY)</t>
  </si>
  <si>
    <t>黑龙电商所(DY)</t>
  </si>
  <si>
    <t>总体结果</t>
  </si>
  <si>
    <t>时间-年/月</t>
  </si>
  <si>
    <t>营业所(顶益双管理)</t>
  </si>
  <si>
    <t>日历年/月</t>
  </si>
  <si>
    <t>鸡汁原味</t>
  </si>
  <si>
    <t>烤羊肉串</t>
  </si>
  <si>
    <t>麻辣小龙虾</t>
  </si>
  <si>
    <t>香葱鸡汁味</t>
  </si>
  <si>
    <t>香烤鱿鱼</t>
  </si>
  <si>
    <t>组织-营业部</t>
  </si>
  <si>
    <t>必售铺货率E=D/C</t>
  </si>
  <si>
    <t>出货</t>
    <phoneticPr fontId="19" type="noConversion"/>
  </si>
  <si>
    <t>成长</t>
    <phoneticPr fontId="19" type="noConversion"/>
  </si>
  <si>
    <t>TOP5口味BI铺货率</t>
    <phoneticPr fontId="19" type="noConversion"/>
  </si>
  <si>
    <t>同期</t>
    <phoneticPr fontId="19" type="noConversion"/>
  </si>
  <si>
    <t>目标</t>
    <phoneticPr fontId="19" type="noConversion"/>
  </si>
  <si>
    <t>达成</t>
    <phoneticPr fontId="19" type="noConversion"/>
  </si>
  <si>
    <t>黑龙江</t>
    <phoneticPr fontId="19" type="noConversion"/>
  </si>
  <si>
    <t>排名</t>
    <phoneticPr fontId="19" type="noConversion"/>
  </si>
  <si>
    <t>排名</t>
    <phoneticPr fontId="19" type="noConversion"/>
  </si>
  <si>
    <t>排名</t>
    <phoneticPr fontId="19" type="noConversion"/>
  </si>
  <si>
    <t>部</t>
    <phoneticPr fontId="19" type="noConversion"/>
  </si>
  <si>
    <t>所</t>
    <phoneticPr fontId="19" type="noConversion"/>
  </si>
  <si>
    <t>组织</t>
    <phoneticPr fontId="19" type="noConversion"/>
  </si>
  <si>
    <t>黑龙江</t>
    <phoneticPr fontId="19" type="noConversion"/>
  </si>
  <si>
    <t>实际出货数量（+非领搭赠，自然箱）</t>
  </si>
  <si>
    <t>同期实际出货数量（+非领搭赠，自然箱）</t>
  </si>
  <si>
    <t>同比增长(数量)%（+非领搭赠，自然箱）</t>
  </si>
  <si>
    <t>目标出货数量(拆综合箱)(自然箱)</t>
  </si>
  <si>
    <t>管理目标数量达成%(+非领搭赠换货，自然箱)</t>
  </si>
  <si>
    <t>椒盐小酥肉</t>
  </si>
  <si>
    <t>实盘库存</t>
    <phoneticPr fontId="19" type="noConversion"/>
  </si>
  <si>
    <t>绥化外埠所</t>
  </si>
  <si>
    <t>X</t>
  </si>
  <si>
    <t>品牌</t>
  </si>
  <si>
    <t>2025.04.14 01:33:12</t>
  </si>
  <si>
    <t>酸甜番茄味</t>
  </si>
  <si>
    <t>芝士火鸡味</t>
  </si>
  <si>
    <t>口味别出货</t>
    <phoneticPr fontId="19" type="noConversion"/>
  </si>
  <si>
    <t>口味别占比</t>
    <phoneticPr fontId="19" type="noConversion"/>
  </si>
  <si>
    <t>占比</t>
    <phoneticPr fontId="19" type="noConversion"/>
  </si>
  <si>
    <t>出货</t>
    <phoneticPr fontId="19" type="noConversion"/>
  </si>
  <si>
    <t>口味别检核</t>
    <phoneticPr fontId="19" type="noConversion"/>
  </si>
  <si>
    <t>口味别检核</t>
    <phoneticPr fontId="19" type="noConversion"/>
  </si>
  <si>
    <t>原味</t>
  </si>
  <si>
    <t>羊肉串</t>
  </si>
  <si>
    <t>小龙虾</t>
  </si>
  <si>
    <t>鸡汁味</t>
  </si>
  <si>
    <t>鱿鱼</t>
  </si>
  <si>
    <t/>
  </si>
  <si>
    <t>营业所(顶益双管理)|产品-口味</t>
  </si>
  <si>
    <t>组织-营业所|口味码</t>
  </si>
  <si>
    <t>小酥肉</t>
    <phoneticPr fontId="19" type="noConversion"/>
  </si>
  <si>
    <t>2025.05</t>
  </si>
  <si>
    <t>5月 2025</t>
  </si>
  <si>
    <t>4月末</t>
  </si>
  <si>
    <t>5月末</t>
    <phoneticPr fontId="19" type="noConversion"/>
  </si>
  <si>
    <t>变化</t>
    <phoneticPr fontId="19" type="noConversion"/>
  </si>
  <si>
    <t>5月末</t>
    <phoneticPr fontId="19" type="noConversion"/>
  </si>
  <si>
    <t>变化</t>
    <phoneticPr fontId="19" type="noConversion"/>
  </si>
  <si>
    <t>组织-营业所</t>
  </si>
  <si>
    <t>红烧品牌</t>
  </si>
  <si>
    <t>整体</t>
    <phoneticPr fontId="19" type="noConversion"/>
  </si>
  <si>
    <t>校园铺货率</t>
    <phoneticPr fontId="19" type="noConversion"/>
  </si>
  <si>
    <t>香爆脆</t>
    <phoneticPr fontId="19" type="noConversion"/>
  </si>
  <si>
    <t>红牛</t>
    <phoneticPr fontId="19" type="noConversion"/>
  </si>
  <si>
    <t>整体
铺货率</t>
    <phoneticPr fontId="19" type="noConversion"/>
  </si>
  <si>
    <t>校园铺货率</t>
    <phoneticPr fontId="19" type="noConversion"/>
  </si>
  <si>
    <t>红牛</t>
    <phoneticPr fontId="19" type="noConversion"/>
  </si>
  <si>
    <t>番茄</t>
    <phoneticPr fontId="19" type="noConversion"/>
  </si>
  <si>
    <t>火鸡</t>
    <phoneticPr fontId="19" type="noConversion"/>
  </si>
  <si>
    <t xml:space="preserve">  分流数量
(转单+车辅)D</t>
  </si>
  <si>
    <t>南北区域</t>
  </si>
  <si>
    <t>组织-行销区域</t>
  </si>
  <si>
    <t>北区</t>
  </si>
  <si>
    <t>黑龙江行销区域</t>
  </si>
  <si>
    <t>5月分流</t>
    <phoneticPr fontId="19" type="noConversion"/>
  </si>
  <si>
    <t>库存/分流</t>
    <phoneticPr fontId="19" type="noConversion"/>
  </si>
  <si>
    <t>库存/目标</t>
    <phoneticPr fontId="19" type="noConversion"/>
  </si>
  <si>
    <t>6月目标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</si>
</sst>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_(* #,##0.00_);_(* \(#,##0.00\);_(* &quot;-&quot;??_);_(@_)"/>
    <numFmt numFmtId="177" formatCode="_ * #,##0.0_ ;_ * \-#,##0.0_ ;_ * &quot;-&quot;??_ ;_ @_ "/>
    <numFmt numFmtId="178" formatCode="0_);[Red]\(0\)"/>
    <numFmt numFmtId="179" formatCode="_ * #,##0_ ;_ * \-#,##0_ ;_ * &quot;-&quot;??_ ;_ @_ "/>
    <numFmt numFmtId="180" formatCode="###,000"/>
    <numFmt numFmtId="181" formatCode="#,##0.000;\-#,##0.000;#,##0.000"/>
    <numFmt numFmtId="182" formatCode="#,##0.00&quot; &quot;%;\-#,##0.00&quot; &quot;%;#,##0.00&quot; &quot;%"/>
    <numFmt numFmtId="183" formatCode="_(* #,##0.0_);_(* \(#,##0.0\);_(* &quot;-&quot;??_);_(@_)"/>
    <numFmt numFmtId="184" formatCode="0.0_ "/>
  </numFmts>
  <fonts count="3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8"/>
      <color rgb="FF000000"/>
      <name val="Arial"/>
      <family val="2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7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/>
      <right style="hair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thin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/>
      <right style="hair">
        <color theme="1" tint="0.499984740745262"/>
      </right>
      <top/>
      <bottom/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/>
      <right/>
      <top style="thin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/>
      <diagonal/>
    </border>
    <border>
      <left style="hair">
        <color theme="1" tint="0.499984740745262"/>
      </left>
      <right/>
      <top/>
      <bottom/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</borders>
  <cellStyleXfs count="8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38" borderId="39" applyNumberFormat="0" applyAlignment="0" applyProtection="0">
      <alignment horizontal="left" vertical="center" indent="1"/>
    </xf>
    <xf numFmtId="180" fontId="24" fillId="0" borderId="40" applyNumberFormat="0" applyProtection="0">
      <alignment horizontal="right" vertical="center"/>
    </xf>
    <xf numFmtId="180" fontId="23" fillId="0" borderId="41" applyNumberFormat="0" applyProtection="0">
      <alignment horizontal="right" vertical="center"/>
    </xf>
    <xf numFmtId="180" fontId="24" fillId="39" borderId="39" applyNumberFormat="0" applyAlignment="0" applyProtection="0">
      <alignment horizontal="left" vertical="center" indent="1"/>
    </xf>
    <xf numFmtId="0" fontId="25" fillId="40" borderId="41" applyNumberFormat="0" applyAlignment="0">
      <alignment horizontal="left" vertical="center" indent="1"/>
      <protection locked="0"/>
    </xf>
    <xf numFmtId="0" fontId="25" fillId="41" borderId="41" applyNumberFormat="0" applyAlignment="0" applyProtection="0">
      <alignment horizontal="left" vertical="center" indent="1"/>
    </xf>
    <xf numFmtId="180" fontId="24" fillId="42" borderId="40" applyNumberFormat="0" applyBorder="0">
      <alignment horizontal="right" vertical="center"/>
      <protection locked="0"/>
    </xf>
    <xf numFmtId="0" fontId="25" fillId="40" borderId="41" applyNumberFormat="0" applyAlignment="0">
      <alignment horizontal="left" vertical="center" indent="1"/>
      <protection locked="0"/>
    </xf>
    <xf numFmtId="180" fontId="23" fillId="41" borderId="41" applyNumberFormat="0" applyProtection="0">
      <alignment horizontal="right" vertical="center"/>
    </xf>
    <xf numFmtId="180" fontId="23" fillId="42" borderId="41" applyNumberFormat="0" applyBorder="0">
      <alignment horizontal="right" vertical="center"/>
      <protection locked="0"/>
    </xf>
    <xf numFmtId="180" fontId="26" fillId="43" borderId="42" applyNumberFormat="0" applyBorder="0" applyAlignment="0" applyProtection="0">
      <alignment horizontal="right" vertical="center" indent="1"/>
    </xf>
    <xf numFmtId="180" fontId="27" fillId="44" borderId="42" applyNumberFormat="0" applyBorder="0" applyAlignment="0" applyProtection="0">
      <alignment horizontal="right" vertical="center" indent="1"/>
    </xf>
    <xf numFmtId="180" fontId="27" fillId="45" borderId="42" applyNumberFormat="0" applyBorder="0" applyAlignment="0" applyProtection="0">
      <alignment horizontal="right" vertical="center" indent="1"/>
    </xf>
    <xf numFmtId="180" fontId="28" fillId="46" borderId="42" applyNumberFormat="0" applyBorder="0" applyAlignment="0" applyProtection="0">
      <alignment horizontal="right" vertical="center" indent="1"/>
    </xf>
    <xf numFmtId="180" fontId="28" fillId="47" borderId="42" applyNumberFormat="0" applyBorder="0" applyAlignment="0" applyProtection="0">
      <alignment horizontal="right" vertical="center" indent="1"/>
    </xf>
    <xf numFmtId="180" fontId="28" fillId="48" borderId="42" applyNumberFormat="0" applyBorder="0" applyAlignment="0" applyProtection="0">
      <alignment horizontal="right" vertical="center" indent="1"/>
    </xf>
    <xf numFmtId="180" fontId="29" fillId="49" borderId="42" applyNumberFormat="0" applyBorder="0" applyAlignment="0" applyProtection="0">
      <alignment horizontal="right" vertical="center" indent="1"/>
    </xf>
    <xf numFmtId="180" fontId="29" fillId="50" borderId="42" applyNumberFormat="0" applyBorder="0" applyAlignment="0" applyProtection="0">
      <alignment horizontal="right" vertical="center" indent="1"/>
    </xf>
    <xf numFmtId="180" fontId="29" fillId="51" borderId="42" applyNumberFormat="0" applyBorder="0" applyAlignment="0" applyProtection="0">
      <alignment horizontal="right" vertical="center" indent="1"/>
    </xf>
    <xf numFmtId="0" fontId="18" fillId="0" borderId="39" applyNumberFormat="0" applyFont="0" applyFill="0" applyAlignment="0" applyProtection="0"/>
    <xf numFmtId="180" fontId="30" fillId="39" borderId="0" applyNumberFormat="0" applyAlignment="0" applyProtection="0">
      <alignment horizontal="left" vertical="center" indent="1"/>
    </xf>
    <xf numFmtId="0" fontId="18" fillId="0" borderId="43" applyNumberFormat="0" applyFont="0" applyFill="0" applyAlignment="0" applyProtection="0"/>
    <xf numFmtId="180" fontId="24" fillId="0" borderId="40" applyNumberFormat="0" applyFill="0" applyBorder="0" applyAlignment="0" applyProtection="0">
      <alignment horizontal="right" vertical="center"/>
    </xf>
    <xf numFmtId="180" fontId="24" fillId="39" borderId="39" applyNumberFormat="0" applyAlignment="0" applyProtection="0">
      <alignment horizontal="left" vertical="center" indent="1"/>
    </xf>
    <xf numFmtId="0" fontId="23" fillId="38" borderId="41" applyNumberFormat="0" applyAlignment="0" applyProtection="0">
      <alignment horizontal="left" vertical="center" indent="1"/>
    </xf>
    <xf numFmtId="0" fontId="25" fillId="52" borderId="39" applyNumberFormat="0" applyAlignment="0" applyProtection="0">
      <alignment horizontal="left" vertical="center" indent="1"/>
    </xf>
    <xf numFmtId="0" fontId="25" fillId="53" borderId="39" applyNumberFormat="0" applyAlignment="0" applyProtection="0">
      <alignment horizontal="left" vertical="center" indent="1"/>
    </xf>
    <xf numFmtId="0" fontId="25" fillId="54" borderId="39" applyNumberFormat="0" applyAlignment="0" applyProtection="0">
      <alignment horizontal="left" vertical="center" indent="1"/>
    </xf>
    <xf numFmtId="0" fontId="25" fillId="42" borderId="39" applyNumberFormat="0" applyAlignment="0" applyProtection="0">
      <alignment horizontal="left" vertical="center" indent="1"/>
    </xf>
    <xf numFmtId="0" fontId="25" fillId="41" borderId="41" applyNumberFormat="0" applyAlignment="0" applyProtection="0">
      <alignment horizontal="left" vertical="center" indent="1"/>
    </xf>
    <xf numFmtId="0" fontId="31" fillId="0" borderId="44" applyNumberFormat="0" applyFill="0" applyBorder="0" applyAlignment="0" applyProtection="0"/>
    <xf numFmtId="0" fontId="32" fillId="0" borderId="44" applyNumberFormat="0" applyBorder="0" applyAlignment="0" applyProtection="0"/>
    <xf numFmtId="0" fontId="31" fillId="40" borderId="41" applyNumberFormat="0" applyAlignment="0">
      <alignment horizontal="left" vertical="center" indent="1"/>
      <protection locked="0"/>
    </xf>
    <xf numFmtId="0" fontId="31" fillId="40" borderId="41" applyNumberFormat="0" applyAlignment="0">
      <alignment horizontal="left" vertical="center" indent="1"/>
      <protection locked="0"/>
    </xf>
    <xf numFmtId="0" fontId="31" fillId="41" borderId="41" applyNumberFormat="0" applyAlignment="0" applyProtection="0">
      <alignment horizontal="left" vertical="center" indent="1"/>
    </xf>
    <xf numFmtId="180" fontId="33" fillId="41" borderId="41" applyNumberFormat="0" applyProtection="0">
      <alignment horizontal="right" vertical="center"/>
    </xf>
    <xf numFmtId="180" fontId="34" fillId="42" borderId="40" applyNumberFormat="0" applyBorder="0">
      <alignment horizontal="right" vertical="center"/>
      <protection locked="0"/>
    </xf>
    <xf numFmtId="180" fontId="33" fillId="42" borderId="41" applyNumberFormat="0" applyBorder="0">
      <alignment horizontal="right" vertical="center"/>
      <protection locked="0"/>
    </xf>
    <xf numFmtId="180" fontId="24" fillId="0" borderId="40" applyNumberFormat="0" applyFill="0" applyBorder="0" applyAlignment="0" applyProtection="0">
      <alignment horizontal="right" vertical="center"/>
    </xf>
  </cellStyleXfs>
  <cellXfs count="212">
    <xf numFmtId="0" fontId="0" fillId="0" borderId="0" xfId="0">
      <alignment vertical="center"/>
    </xf>
    <xf numFmtId="49" fontId="18" fillId="33" borderId="0" xfId="0" applyNumberFormat="1" applyFont="1" applyFill="1" applyAlignment="1">
      <alignment vertical="center" wrapText="1"/>
    </xf>
    <xf numFmtId="0" fontId="20" fillId="0" borderId="0" xfId="44" applyAlignment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177" fontId="21" fillId="0" borderId="0" xfId="1" applyNumberFormat="1" applyFont="1">
      <alignment vertical="center"/>
    </xf>
    <xf numFmtId="9" fontId="21" fillId="0" borderId="0" xfId="2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9" fontId="21" fillId="0" borderId="0" xfId="0" applyNumberFormat="1" applyFont="1">
      <alignment vertical="center"/>
    </xf>
    <xf numFmtId="0" fontId="22" fillId="34" borderId="14" xfId="0" applyFont="1" applyFill="1" applyBorder="1" applyAlignment="1">
      <alignment horizontal="center" vertical="center"/>
    </xf>
    <xf numFmtId="0" fontId="22" fillId="34" borderId="15" xfId="0" applyFont="1" applyFill="1" applyBorder="1" applyAlignment="1">
      <alignment horizontal="center" vertical="center"/>
    </xf>
    <xf numFmtId="0" fontId="22" fillId="34" borderId="19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77" fontId="21" fillId="0" borderId="25" xfId="1" applyNumberFormat="1" applyFont="1" applyBorder="1">
      <alignment vertical="center"/>
    </xf>
    <xf numFmtId="177" fontId="21" fillId="0" borderId="27" xfId="1" applyNumberFormat="1" applyFont="1" applyBorder="1">
      <alignment vertical="center"/>
    </xf>
    <xf numFmtId="177" fontId="21" fillId="0" borderId="26" xfId="1" applyNumberFormat="1" applyFont="1" applyBorder="1">
      <alignment vertical="center"/>
    </xf>
    <xf numFmtId="9" fontId="21" fillId="0" borderId="25" xfId="2" applyFont="1" applyBorder="1">
      <alignment vertical="center"/>
    </xf>
    <xf numFmtId="9" fontId="21" fillId="0" borderId="27" xfId="2" applyFont="1" applyBorder="1">
      <alignment vertical="center"/>
    </xf>
    <xf numFmtId="9" fontId="21" fillId="0" borderId="26" xfId="2" applyFont="1" applyBorder="1">
      <alignment vertical="center"/>
    </xf>
    <xf numFmtId="9" fontId="21" fillId="0" borderId="28" xfId="2" applyFont="1" applyBorder="1">
      <alignment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177" fontId="21" fillId="0" borderId="29" xfId="1" applyNumberFormat="1" applyFont="1" applyBorder="1">
      <alignment vertical="center"/>
    </xf>
    <xf numFmtId="177" fontId="21" fillId="0" borderId="31" xfId="1" applyNumberFormat="1" applyFont="1" applyBorder="1">
      <alignment vertical="center"/>
    </xf>
    <xf numFmtId="177" fontId="21" fillId="0" borderId="30" xfId="1" applyNumberFormat="1" applyFont="1" applyBorder="1">
      <alignment vertical="center"/>
    </xf>
    <xf numFmtId="9" fontId="21" fillId="0" borderId="29" xfId="2" applyFont="1" applyBorder="1">
      <alignment vertical="center"/>
    </xf>
    <xf numFmtId="9" fontId="21" fillId="0" borderId="31" xfId="2" applyFont="1" applyBorder="1">
      <alignment vertical="center"/>
    </xf>
    <xf numFmtId="9" fontId="21" fillId="0" borderId="30" xfId="2" applyFont="1" applyBorder="1">
      <alignment vertical="center"/>
    </xf>
    <xf numFmtId="9" fontId="21" fillId="0" borderId="32" xfId="2" applyFont="1" applyBorder="1">
      <alignment vertical="center"/>
    </xf>
    <xf numFmtId="177" fontId="21" fillId="0" borderId="21" xfId="1" applyNumberFormat="1" applyFont="1" applyBorder="1">
      <alignment vertical="center"/>
    </xf>
    <xf numFmtId="177" fontId="21" fillId="0" borderId="23" xfId="1" applyNumberFormat="1" applyFont="1" applyBorder="1">
      <alignment vertical="center"/>
    </xf>
    <xf numFmtId="177" fontId="21" fillId="0" borderId="22" xfId="1" applyNumberFormat="1" applyFont="1" applyBorder="1">
      <alignment vertical="center"/>
    </xf>
    <xf numFmtId="9" fontId="21" fillId="0" borderId="21" xfId="2" applyFont="1" applyBorder="1">
      <alignment vertical="center"/>
    </xf>
    <xf numFmtId="9" fontId="21" fillId="0" borderId="23" xfId="2" applyFont="1" applyBorder="1">
      <alignment vertical="center"/>
    </xf>
    <xf numFmtId="9" fontId="21" fillId="0" borderId="22" xfId="2" applyFont="1" applyBorder="1">
      <alignment vertical="center"/>
    </xf>
    <xf numFmtId="9" fontId="21" fillId="0" borderId="24" xfId="2" applyFont="1" applyBorder="1">
      <alignment vertical="center"/>
    </xf>
    <xf numFmtId="177" fontId="22" fillId="35" borderId="16" xfId="1" applyNumberFormat="1" applyFont="1" applyFill="1" applyBorder="1">
      <alignment vertical="center"/>
    </xf>
    <xf numFmtId="177" fontId="22" fillId="35" borderId="17" xfId="1" applyNumberFormat="1" applyFont="1" applyFill="1" applyBorder="1">
      <alignment vertical="center"/>
    </xf>
    <xf numFmtId="177" fontId="22" fillId="35" borderId="18" xfId="1" applyNumberFormat="1" applyFont="1" applyFill="1" applyBorder="1">
      <alignment vertical="center"/>
    </xf>
    <xf numFmtId="9" fontId="22" fillId="35" borderId="16" xfId="2" applyFont="1" applyFill="1" applyBorder="1">
      <alignment vertical="center"/>
    </xf>
    <xf numFmtId="9" fontId="22" fillId="35" borderId="17" xfId="2" applyFont="1" applyFill="1" applyBorder="1">
      <alignment vertical="center"/>
    </xf>
    <xf numFmtId="9" fontId="22" fillId="35" borderId="18" xfId="2" applyFont="1" applyFill="1" applyBorder="1">
      <alignment vertical="center"/>
    </xf>
    <xf numFmtId="9" fontId="22" fillId="35" borderId="20" xfId="2" applyFont="1" applyFill="1" applyBorder="1">
      <alignment vertical="center"/>
    </xf>
    <xf numFmtId="0" fontId="21" fillId="36" borderId="21" xfId="0" applyFont="1" applyFill="1" applyBorder="1" applyAlignment="1">
      <alignment horizontal="center" vertical="center"/>
    </xf>
    <xf numFmtId="0" fontId="21" fillId="36" borderId="22" xfId="0" applyFont="1" applyFill="1" applyBorder="1" applyAlignment="1">
      <alignment horizontal="center" vertical="center"/>
    </xf>
    <xf numFmtId="177" fontId="21" fillId="36" borderId="21" xfId="1" applyNumberFormat="1" applyFont="1" applyFill="1" applyBorder="1">
      <alignment vertical="center"/>
    </xf>
    <xf numFmtId="177" fontId="21" fillId="36" borderId="23" xfId="1" applyNumberFormat="1" applyFont="1" applyFill="1" applyBorder="1">
      <alignment vertical="center"/>
    </xf>
    <xf numFmtId="177" fontId="21" fillId="36" borderId="22" xfId="1" applyNumberFormat="1" applyFont="1" applyFill="1" applyBorder="1">
      <alignment vertical="center"/>
    </xf>
    <xf numFmtId="9" fontId="21" fillId="36" borderId="21" xfId="2" applyFont="1" applyFill="1" applyBorder="1">
      <alignment vertical="center"/>
    </xf>
    <xf numFmtId="9" fontId="21" fillId="36" borderId="23" xfId="2" applyFont="1" applyFill="1" applyBorder="1">
      <alignment vertical="center"/>
    </xf>
    <xf numFmtId="9" fontId="21" fillId="36" borderId="22" xfId="2" applyFont="1" applyFill="1" applyBorder="1">
      <alignment vertical="center"/>
    </xf>
    <xf numFmtId="9" fontId="21" fillId="36" borderId="24" xfId="2" applyFont="1" applyFill="1" applyBorder="1">
      <alignment vertical="center"/>
    </xf>
    <xf numFmtId="0" fontId="21" fillId="36" borderId="25" xfId="0" applyFont="1" applyFill="1" applyBorder="1" applyAlignment="1">
      <alignment horizontal="center" vertical="center"/>
    </xf>
    <xf numFmtId="0" fontId="21" fillId="36" borderId="26" xfId="0" applyFont="1" applyFill="1" applyBorder="1" applyAlignment="1">
      <alignment horizontal="center" vertical="center"/>
    </xf>
    <xf numFmtId="177" fontId="21" fillId="36" borderId="25" xfId="1" applyNumberFormat="1" applyFont="1" applyFill="1" applyBorder="1">
      <alignment vertical="center"/>
    </xf>
    <xf numFmtId="177" fontId="21" fillId="36" borderId="27" xfId="1" applyNumberFormat="1" applyFont="1" applyFill="1" applyBorder="1">
      <alignment vertical="center"/>
    </xf>
    <xf numFmtId="177" fontId="21" fillId="36" borderId="26" xfId="1" applyNumberFormat="1" applyFont="1" applyFill="1" applyBorder="1">
      <alignment vertical="center"/>
    </xf>
    <xf numFmtId="9" fontId="21" fillId="36" borderId="25" xfId="2" applyFont="1" applyFill="1" applyBorder="1">
      <alignment vertical="center"/>
    </xf>
    <xf numFmtId="9" fontId="21" fillId="36" borderId="27" xfId="2" applyFont="1" applyFill="1" applyBorder="1">
      <alignment vertical="center"/>
    </xf>
    <xf numFmtId="9" fontId="21" fillId="36" borderId="26" xfId="2" applyFont="1" applyFill="1" applyBorder="1">
      <alignment vertical="center"/>
    </xf>
    <xf numFmtId="9" fontId="21" fillId="36" borderId="28" xfId="2" applyFont="1" applyFill="1" applyBorder="1">
      <alignment vertical="center"/>
    </xf>
    <xf numFmtId="0" fontId="21" fillId="36" borderId="29" xfId="0" applyFont="1" applyFill="1" applyBorder="1" applyAlignment="1">
      <alignment horizontal="center" vertical="center"/>
    </xf>
    <xf numFmtId="0" fontId="21" fillId="36" borderId="30" xfId="0" applyFont="1" applyFill="1" applyBorder="1" applyAlignment="1">
      <alignment horizontal="center" vertical="center"/>
    </xf>
    <xf numFmtId="177" fontId="21" fillId="36" borderId="29" xfId="1" applyNumberFormat="1" applyFont="1" applyFill="1" applyBorder="1">
      <alignment vertical="center"/>
    </xf>
    <xf numFmtId="177" fontId="21" fillId="36" borderId="31" xfId="1" applyNumberFormat="1" applyFont="1" applyFill="1" applyBorder="1">
      <alignment vertical="center"/>
    </xf>
    <xf numFmtId="177" fontId="21" fillId="36" borderId="30" xfId="1" applyNumberFormat="1" applyFont="1" applyFill="1" applyBorder="1">
      <alignment vertical="center"/>
    </xf>
    <xf numFmtId="9" fontId="21" fillId="36" borderId="29" xfId="2" applyFont="1" applyFill="1" applyBorder="1">
      <alignment vertical="center"/>
    </xf>
    <xf numFmtId="9" fontId="21" fillId="36" borderId="31" xfId="2" applyFont="1" applyFill="1" applyBorder="1">
      <alignment vertical="center"/>
    </xf>
    <xf numFmtId="9" fontId="21" fillId="36" borderId="30" xfId="2" applyFont="1" applyFill="1" applyBorder="1">
      <alignment vertical="center"/>
    </xf>
    <xf numFmtId="9" fontId="21" fillId="36" borderId="32" xfId="2" applyFont="1" applyFill="1" applyBorder="1">
      <alignment vertical="center"/>
    </xf>
    <xf numFmtId="0" fontId="22" fillId="0" borderId="0" xfId="0" applyFont="1" applyAlignment="1">
      <alignment horizontal="center" vertical="center"/>
    </xf>
    <xf numFmtId="178" fontId="21" fillId="0" borderId="0" xfId="2" applyNumberFormat="1" applyFont="1">
      <alignment vertical="center"/>
    </xf>
    <xf numFmtId="58" fontId="22" fillId="34" borderId="13" xfId="0" applyNumberFormat="1" applyFont="1" applyFill="1" applyBorder="1" applyAlignment="1">
      <alignment horizontal="center" vertical="center"/>
    </xf>
    <xf numFmtId="58" fontId="22" fillId="34" borderId="15" xfId="0" applyNumberFormat="1" applyFont="1" applyFill="1" applyBorder="1" applyAlignment="1">
      <alignment horizontal="center" vertical="center"/>
    </xf>
    <xf numFmtId="58" fontId="22" fillId="0" borderId="0" xfId="0" applyNumberFormat="1" applyFont="1" applyAlignment="1">
      <alignment horizontal="center" vertical="center"/>
    </xf>
    <xf numFmtId="179" fontId="21" fillId="0" borderId="0" xfId="1" applyNumberFormat="1" applyFont="1">
      <alignment vertical="center"/>
    </xf>
    <xf numFmtId="0" fontId="22" fillId="37" borderId="0" xfId="0" applyFont="1" applyFill="1" applyAlignment="1">
      <alignment horizontal="center" vertical="center"/>
    </xf>
    <xf numFmtId="177" fontId="22" fillId="37" borderId="0" xfId="1" applyNumberFormat="1" applyFont="1" applyFill="1" applyAlignment="1">
      <alignment horizontal="center" vertical="center"/>
    </xf>
    <xf numFmtId="9" fontId="22" fillId="37" borderId="0" xfId="2" applyFont="1" applyFill="1" applyAlignment="1">
      <alignment horizontal="center" vertical="center"/>
    </xf>
    <xf numFmtId="9" fontId="22" fillId="37" borderId="0" xfId="2" applyFont="1" applyFill="1">
      <alignment vertical="center"/>
    </xf>
    <xf numFmtId="0" fontId="21" fillId="37" borderId="0" xfId="0" applyFont="1" applyFill="1">
      <alignment vertical="center"/>
    </xf>
    <xf numFmtId="9" fontId="21" fillId="37" borderId="0" xfId="0" applyNumberFormat="1" applyFont="1" applyFill="1">
      <alignment vertical="center"/>
    </xf>
    <xf numFmtId="179" fontId="21" fillId="37" borderId="0" xfId="1" applyNumberFormat="1" applyFont="1" applyFill="1">
      <alignment vertical="center"/>
    </xf>
    <xf numFmtId="0" fontId="22" fillId="37" borderId="0" xfId="0" applyFont="1" applyFill="1">
      <alignment vertical="center"/>
    </xf>
    <xf numFmtId="177" fontId="21" fillId="37" borderId="0" xfId="1" applyNumberFormat="1" applyFont="1" applyFill="1">
      <alignment vertical="center"/>
    </xf>
    <xf numFmtId="9" fontId="21" fillId="37" borderId="0" xfId="2" applyFont="1" applyFill="1">
      <alignment vertical="center"/>
    </xf>
    <xf numFmtId="178" fontId="21" fillId="37" borderId="0" xfId="2" applyNumberFormat="1" applyFont="1" applyFill="1">
      <alignment vertical="center"/>
    </xf>
    <xf numFmtId="58" fontId="22" fillId="34" borderId="36" xfId="0" applyNumberFormat="1" applyFont="1" applyFill="1" applyBorder="1" applyAlignment="1">
      <alignment horizontal="center" vertical="center"/>
    </xf>
    <xf numFmtId="177" fontId="21" fillId="36" borderId="37" xfId="1" applyNumberFormat="1" applyFont="1" applyFill="1" applyBorder="1">
      <alignment vertical="center"/>
    </xf>
    <xf numFmtId="177" fontId="21" fillId="36" borderId="0" xfId="1" applyNumberFormat="1" applyFont="1" applyFill="1" applyBorder="1">
      <alignment vertical="center"/>
    </xf>
    <xf numFmtId="177" fontId="21" fillId="36" borderId="38" xfId="1" applyNumberFormat="1" applyFont="1" applyFill="1" applyBorder="1">
      <alignment vertical="center"/>
    </xf>
    <xf numFmtId="177" fontId="21" fillId="0" borderId="37" xfId="1" applyNumberFormat="1" applyFont="1" applyBorder="1">
      <alignment vertical="center"/>
    </xf>
    <xf numFmtId="177" fontId="21" fillId="0" borderId="0" xfId="1" applyNumberFormat="1" applyFont="1" applyBorder="1">
      <alignment vertical="center"/>
    </xf>
    <xf numFmtId="177" fontId="21" fillId="0" borderId="38" xfId="1" applyNumberFormat="1" applyFont="1" applyBorder="1">
      <alignment vertical="center"/>
    </xf>
    <xf numFmtId="176" fontId="21" fillId="0" borderId="0" xfId="0" applyNumberFormat="1" applyFont="1">
      <alignment vertical="center"/>
    </xf>
    <xf numFmtId="0" fontId="22" fillId="34" borderId="13" xfId="0" applyFont="1" applyFill="1" applyBorder="1" applyAlignment="1">
      <alignment horizontal="center" vertical="center"/>
    </xf>
    <xf numFmtId="0" fontId="22" fillId="34" borderId="15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37" borderId="0" xfId="0" applyFont="1" applyFill="1" applyAlignment="1">
      <alignment horizontal="center" vertical="center"/>
    </xf>
    <xf numFmtId="0" fontId="22" fillId="34" borderId="15" xfId="0" applyFont="1" applyFill="1" applyBorder="1" applyAlignment="1">
      <alignment horizontal="center" vertical="center"/>
    </xf>
    <xf numFmtId="39" fontId="24" fillId="0" borderId="40" xfId="46" applyNumberFormat="1">
      <alignment horizontal="right" vertical="center"/>
    </xf>
    <xf numFmtId="181" fontId="24" fillId="0" borderId="40" xfId="46" applyNumberFormat="1">
      <alignment horizontal="right" vertical="center"/>
    </xf>
    <xf numFmtId="39" fontId="23" fillId="0" borderId="41" xfId="47" applyNumberFormat="1">
      <alignment horizontal="right" vertical="center"/>
    </xf>
    <xf numFmtId="181" fontId="23" fillId="0" borderId="41" xfId="47" applyNumberFormat="1">
      <alignment horizontal="right" vertical="center"/>
    </xf>
    <xf numFmtId="39" fontId="23" fillId="0" borderId="45" xfId="47" applyNumberFormat="1" applyBorder="1">
      <alignment horizontal="right" vertical="center"/>
    </xf>
    <xf numFmtId="181" fontId="23" fillId="0" borderId="45" xfId="47" applyNumberFormat="1" applyBorder="1">
      <alignment horizontal="right" vertical="center"/>
    </xf>
    <xf numFmtId="39" fontId="24" fillId="0" borderId="47" xfId="46" applyNumberFormat="1" applyBorder="1">
      <alignment horizontal="right" vertical="center"/>
    </xf>
    <xf numFmtId="0" fontId="23" fillId="38" borderId="39" xfId="45" quotePrefix="1" applyNumberFormat="1" applyBorder="1" applyAlignment="1">
      <alignment vertical="center"/>
    </xf>
    <xf numFmtId="0" fontId="24" fillId="39" borderId="39" xfId="68" quotePrefix="1" applyNumberFormat="1" applyBorder="1" applyAlignment="1">
      <alignment vertical="center"/>
    </xf>
    <xf numFmtId="0" fontId="23" fillId="38" borderId="48" xfId="69" applyNumberFormat="1" applyBorder="1" applyAlignment="1">
      <alignment vertical="center"/>
    </xf>
    <xf numFmtId="0" fontId="24" fillId="39" borderId="39" xfId="68" quotePrefix="1" applyNumberFormat="1" applyAlignment="1">
      <alignment vertical="center"/>
    </xf>
    <xf numFmtId="0" fontId="23" fillId="38" borderId="49" xfId="69" quotePrefix="1" applyNumberFormat="1" applyBorder="1" applyAlignment="1">
      <alignment vertical="center"/>
    </xf>
    <xf numFmtId="0" fontId="23" fillId="38" borderId="46" xfId="69" quotePrefix="1" applyNumberFormat="1" applyBorder="1" applyAlignment="1">
      <alignment vertical="center"/>
    </xf>
    <xf numFmtId="182" fontId="24" fillId="0" borderId="40" xfId="46" applyNumberFormat="1">
      <alignment horizontal="right" vertical="center"/>
    </xf>
    <xf numFmtId="182" fontId="23" fillId="0" borderId="41" xfId="47" applyNumberFormat="1">
      <alignment horizontal="right" vertical="center"/>
    </xf>
    <xf numFmtId="182" fontId="23" fillId="0" borderId="45" xfId="47" applyNumberFormat="1" applyBorder="1">
      <alignment horizontal="right" vertical="center"/>
    </xf>
    <xf numFmtId="182" fontId="24" fillId="0" borderId="47" xfId="46" applyNumberFormat="1" applyBorder="1">
      <alignment horizontal="right" vertical="center"/>
    </xf>
    <xf numFmtId="182" fontId="23" fillId="0" borderId="49" xfId="47" applyNumberFormat="1" applyBorder="1">
      <alignment horizontal="right" vertical="center"/>
    </xf>
    <xf numFmtId="182" fontId="23" fillId="0" borderId="48" xfId="47" applyNumberFormat="1" applyBorder="1">
      <alignment horizontal="right" vertical="center"/>
    </xf>
    <xf numFmtId="181" fontId="23" fillId="0" borderId="49" xfId="47" applyNumberFormat="1" applyBorder="1">
      <alignment horizontal="right" vertical="center"/>
    </xf>
    <xf numFmtId="181" fontId="23" fillId="0" borderId="48" xfId="47" applyNumberFormat="1" applyBorder="1">
      <alignment horizontal="right" vertical="center"/>
    </xf>
    <xf numFmtId="0" fontId="23" fillId="38" borderId="48" xfId="69" quotePrefix="1" applyNumberFormat="1" applyBorder="1" applyAlignment="1">
      <alignment vertical="center"/>
    </xf>
    <xf numFmtId="0" fontId="21" fillId="0" borderId="26" xfId="0" applyFont="1" applyFill="1" applyBorder="1" applyAlignment="1">
      <alignment horizontal="center" vertical="center"/>
    </xf>
    <xf numFmtId="0" fontId="21" fillId="0" borderId="30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21" fillId="0" borderId="25" xfId="0" applyFont="1" applyFill="1" applyBorder="1" applyAlignment="1">
      <alignment horizontal="center" vertical="center"/>
    </xf>
    <xf numFmtId="177" fontId="21" fillId="0" borderId="25" xfId="1" applyNumberFormat="1" applyFont="1" applyFill="1" applyBorder="1">
      <alignment vertical="center"/>
    </xf>
    <xf numFmtId="177" fontId="21" fillId="0" borderId="27" xfId="1" applyNumberFormat="1" applyFont="1" applyFill="1" applyBorder="1">
      <alignment vertical="center"/>
    </xf>
    <xf numFmtId="177" fontId="21" fillId="0" borderId="26" xfId="1" applyNumberFormat="1" applyFont="1" applyFill="1" applyBorder="1">
      <alignment vertical="center"/>
    </xf>
    <xf numFmtId="9" fontId="21" fillId="0" borderId="25" xfId="2" applyFont="1" applyFill="1" applyBorder="1">
      <alignment vertical="center"/>
    </xf>
    <xf numFmtId="9" fontId="21" fillId="0" borderId="27" xfId="2" applyFont="1" applyFill="1" applyBorder="1">
      <alignment vertical="center"/>
    </xf>
    <xf numFmtId="9" fontId="21" fillId="0" borderId="26" xfId="2" applyFont="1" applyFill="1" applyBorder="1">
      <alignment vertical="center"/>
    </xf>
    <xf numFmtId="9" fontId="21" fillId="0" borderId="27" xfId="2" applyNumberFormat="1" applyFont="1" applyFill="1" applyBorder="1">
      <alignment vertical="center"/>
    </xf>
    <xf numFmtId="183" fontId="21" fillId="0" borderId="27" xfId="1" applyNumberFormat="1" applyFont="1" applyBorder="1">
      <alignment vertical="center"/>
    </xf>
    <xf numFmtId="183" fontId="21" fillId="0" borderId="31" xfId="1" applyNumberFormat="1" applyFont="1" applyBorder="1">
      <alignment vertical="center"/>
    </xf>
    <xf numFmtId="183" fontId="21" fillId="0" borderId="25" xfId="1" applyNumberFormat="1" applyFont="1" applyBorder="1">
      <alignment vertical="center"/>
    </xf>
    <xf numFmtId="181" fontId="0" fillId="0" borderId="0" xfId="0" applyNumberFormat="1">
      <alignment vertical="center"/>
    </xf>
    <xf numFmtId="184" fontId="22" fillId="37" borderId="0" xfId="2" applyNumberFormat="1" applyFont="1" applyFill="1" applyAlignment="1">
      <alignment horizontal="center" vertical="center"/>
    </xf>
    <xf numFmtId="184" fontId="21" fillId="0" borderId="0" xfId="2" applyNumberFormat="1" applyFont="1">
      <alignment vertical="center"/>
    </xf>
    <xf numFmtId="184" fontId="21" fillId="37" borderId="0" xfId="2" applyNumberFormat="1" applyFont="1" applyFill="1">
      <alignment vertical="center"/>
    </xf>
    <xf numFmtId="9" fontId="22" fillId="35" borderId="51" xfId="2" applyFont="1" applyFill="1" applyBorder="1">
      <alignment vertical="center"/>
    </xf>
    <xf numFmtId="9" fontId="21" fillId="36" borderId="52" xfId="2" applyFont="1" applyFill="1" applyBorder="1">
      <alignment vertical="center"/>
    </xf>
    <xf numFmtId="9" fontId="21" fillId="36" borderId="54" xfId="2" applyFont="1" applyFill="1" applyBorder="1">
      <alignment vertical="center"/>
    </xf>
    <xf numFmtId="9" fontId="21" fillId="36" borderId="53" xfId="2" applyFont="1" applyFill="1" applyBorder="1">
      <alignment vertical="center"/>
    </xf>
    <xf numFmtId="9" fontId="21" fillId="0" borderId="52" xfId="2" applyFont="1" applyBorder="1">
      <alignment vertical="center"/>
    </xf>
    <xf numFmtId="9" fontId="21" fillId="0" borderId="54" xfId="2" applyFont="1" applyBorder="1">
      <alignment vertical="center"/>
    </xf>
    <xf numFmtId="9" fontId="21" fillId="0" borderId="53" xfId="2" applyFont="1" applyBorder="1">
      <alignment vertical="center"/>
    </xf>
    <xf numFmtId="9" fontId="22" fillId="35" borderId="55" xfId="2" applyFont="1" applyFill="1" applyBorder="1">
      <alignment vertical="center"/>
    </xf>
    <xf numFmtId="9" fontId="22" fillId="34" borderId="14" xfId="0" applyNumberFormat="1" applyFont="1" applyFill="1" applyBorder="1" applyAlignment="1">
      <alignment horizontal="center" vertical="center"/>
    </xf>
    <xf numFmtId="9" fontId="22" fillId="35" borderId="17" xfId="2" applyNumberFormat="1" applyFont="1" applyFill="1" applyBorder="1">
      <alignment vertical="center"/>
    </xf>
    <xf numFmtId="0" fontId="22" fillId="37" borderId="0" xfId="0" applyFont="1" applyFill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2" fillId="34" borderId="15" xfId="0" applyFont="1" applyFill="1" applyBorder="1" applyAlignment="1">
      <alignment horizontal="center" vertical="center"/>
    </xf>
    <xf numFmtId="0" fontId="22" fillId="34" borderId="34" xfId="0" applyFont="1" applyFill="1" applyBorder="1" applyAlignment="1">
      <alignment vertical="center"/>
    </xf>
    <xf numFmtId="0" fontId="22" fillId="34" borderId="56" xfId="0" applyFont="1" applyFill="1" applyBorder="1" applyAlignment="1">
      <alignment horizontal="center" vertical="center"/>
    </xf>
    <xf numFmtId="9" fontId="21" fillId="36" borderId="57" xfId="2" applyFont="1" applyFill="1" applyBorder="1">
      <alignment vertical="center"/>
    </xf>
    <xf numFmtId="9" fontId="21" fillId="36" borderId="58" xfId="2" applyFont="1" applyFill="1" applyBorder="1">
      <alignment vertical="center"/>
    </xf>
    <xf numFmtId="9" fontId="21" fillId="36" borderId="59" xfId="2" applyFont="1" applyFill="1" applyBorder="1">
      <alignment vertical="center"/>
    </xf>
    <xf numFmtId="9" fontId="21" fillId="0" borderId="57" xfId="2" applyFont="1" applyBorder="1">
      <alignment vertical="center"/>
    </xf>
    <xf numFmtId="9" fontId="21" fillId="0" borderId="58" xfId="2" applyFont="1" applyFill="1" applyBorder="1">
      <alignment vertical="center"/>
    </xf>
    <xf numFmtId="9" fontId="21" fillId="0" borderId="58" xfId="2" applyFont="1" applyBorder="1">
      <alignment vertical="center"/>
    </xf>
    <xf numFmtId="9" fontId="21" fillId="0" borderId="59" xfId="2" applyFont="1" applyBorder="1">
      <alignment vertical="center"/>
    </xf>
    <xf numFmtId="0" fontId="22" fillId="34" borderId="60" xfId="0" applyFont="1" applyFill="1" applyBorder="1" applyAlignment="1">
      <alignment horizontal="center" vertical="center"/>
    </xf>
    <xf numFmtId="9" fontId="22" fillId="35" borderId="61" xfId="2" applyFont="1" applyFill="1" applyBorder="1">
      <alignment vertical="center"/>
    </xf>
    <xf numFmtId="9" fontId="21" fillId="36" borderId="62" xfId="2" applyFont="1" applyFill="1" applyBorder="1">
      <alignment vertical="center"/>
    </xf>
    <xf numFmtId="9" fontId="21" fillId="36" borderId="63" xfId="2" applyFont="1" applyFill="1" applyBorder="1">
      <alignment vertical="center"/>
    </xf>
    <xf numFmtId="9" fontId="21" fillId="36" borderId="64" xfId="2" applyFont="1" applyFill="1" applyBorder="1">
      <alignment vertical="center"/>
    </xf>
    <xf numFmtId="9" fontId="21" fillId="0" borderId="62" xfId="2" applyFont="1" applyBorder="1">
      <alignment vertical="center"/>
    </xf>
    <xf numFmtId="9" fontId="21" fillId="0" borderId="63" xfId="2" applyFont="1" applyFill="1" applyBorder="1">
      <alignment vertical="center"/>
    </xf>
    <xf numFmtId="9" fontId="21" fillId="0" borderId="63" xfId="2" applyFont="1" applyBorder="1">
      <alignment vertical="center"/>
    </xf>
    <xf numFmtId="9" fontId="21" fillId="0" borderId="64" xfId="2" applyFont="1" applyBorder="1">
      <alignment vertical="center"/>
    </xf>
    <xf numFmtId="0" fontId="23" fillId="38" borderId="41" xfId="69" applyNumberFormat="1" applyAlignment="1">
      <alignment vertical="center"/>
    </xf>
    <xf numFmtId="0" fontId="23" fillId="38" borderId="45" xfId="69" applyNumberFormat="1" applyBorder="1" applyAlignment="1">
      <alignment vertical="center"/>
    </xf>
    <xf numFmtId="0" fontId="23" fillId="38" borderId="49" xfId="69" applyNumberFormat="1" applyBorder="1" applyAlignment="1">
      <alignment vertical="center"/>
    </xf>
    <xf numFmtId="0" fontId="25" fillId="52" borderId="39" xfId="70" quotePrefix="1" applyNumberFormat="1" applyBorder="1" applyAlignment="1">
      <alignment vertical="center" wrapText="1"/>
    </xf>
    <xf numFmtId="181" fontId="24" fillId="0" borderId="47" xfId="46" applyNumberFormat="1" applyBorder="1">
      <alignment horizontal="right" vertical="center"/>
    </xf>
    <xf numFmtId="0" fontId="23" fillId="38" borderId="41" xfId="69" quotePrefix="1" applyNumberFormat="1" applyAlignment="1">
      <alignment vertical="center"/>
    </xf>
    <xf numFmtId="58" fontId="22" fillId="34" borderId="14" xfId="0" applyNumberFormat="1" applyFont="1" applyFill="1" applyBorder="1" applyAlignment="1">
      <alignment horizontal="center" vertical="center"/>
    </xf>
    <xf numFmtId="176" fontId="21" fillId="0" borderId="27" xfId="1" applyNumberFormat="1" applyFont="1" applyFill="1" applyBorder="1">
      <alignment vertical="center"/>
    </xf>
    <xf numFmtId="176" fontId="21" fillId="0" borderId="27" xfId="1" applyNumberFormat="1" applyFont="1" applyBorder="1">
      <alignment vertical="center"/>
    </xf>
    <xf numFmtId="176" fontId="21" fillId="0" borderId="31" xfId="1" applyNumberFormat="1" applyFont="1" applyBorder="1">
      <alignment vertical="center"/>
    </xf>
    <xf numFmtId="58" fontId="22" fillId="34" borderId="65" xfId="0" applyNumberFormat="1" applyFont="1" applyFill="1" applyBorder="1" applyAlignment="1">
      <alignment horizontal="center" vertical="center"/>
    </xf>
    <xf numFmtId="177" fontId="22" fillId="35" borderId="66" xfId="1" applyNumberFormat="1" applyFont="1" applyFill="1" applyBorder="1">
      <alignment vertical="center"/>
    </xf>
    <xf numFmtId="177" fontId="21" fillId="36" borderId="67" xfId="1" applyNumberFormat="1" applyFont="1" applyFill="1" applyBorder="1">
      <alignment vertical="center"/>
    </xf>
    <xf numFmtId="177" fontId="21" fillId="36" borderId="68" xfId="1" applyNumberFormat="1" applyFont="1" applyFill="1" applyBorder="1">
      <alignment vertical="center"/>
    </xf>
    <xf numFmtId="177" fontId="21" fillId="36" borderId="69" xfId="1" applyNumberFormat="1" applyFont="1" applyFill="1" applyBorder="1">
      <alignment vertical="center"/>
    </xf>
    <xf numFmtId="177" fontId="21" fillId="0" borderId="67" xfId="1" applyNumberFormat="1" applyFont="1" applyBorder="1">
      <alignment vertical="center"/>
    </xf>
    <xf numFmtId="177" fontId="21" fillId="0" borderId="68" xfId="1" applyNumberFormat="1" applyFont="1" applyFill="1" applyBorder="1">
      <alignment vertical="center"/>
    </xf>
    <xf numFmtId="177" fontId="21" fillId="0" borderId="68" xfId="1" applyNumberFormat="1" applyFont="1" applyBorder="1">
      <alignment vertical="center"/>
    </xf>
    <xf numFmtId="177" fontId="21" fillId="0" borderId="69" xfId="1" applyNumberFormat="1" applyFont="1" applyBorder="1">
      <alignment vertical="center"/>
    </xf>
    <xf numFmtId="0" fontId="22" fillId="37" borderId="0" xfId="0" applyFont="1" applyFill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5" borderId="16" xfId="0" applyFont="1" applyFill="1" applyBorder="1" applyAlignment="1">
      <alignment horizontal="center" vertical="center"/>
    </xf>
    <xf numFmtId="0" fontId="22" fillId="35" borderId="18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2" fillId="34" borderId="15" xfId="0" applyFont="1" applyFill="1" applyBorder="1" applyAlignment="1">
      <alignment horizontal="center" vertical="center"/>
    </xf>
    <xf numFmtId="0" fontId="22" fillId="34" borderId="52" xfId="0" applyFont="1" applyFill="1" applyBorder="1" applyAlignment="1">
      <alignment horizontal="center" vertical="center" wrapText="1"/>
    </xf>
    <xf numFmtId="0" fontId="22" fillId="34" borderId="53" xfId="0" applyFont="1" applyFill="1" applyBorder="1" applyAlignment="1">
      <alignment horizontal="center" vertical="center"/>
    </xf>
    <xf numFmtId="0" fontId="22" fillId="34" borderId="35" xfId="0" applyFont="1" applyFill="1" applyBorder="1" applyAlignment="1">
      <alignment horizontal="center" vertical="center"/>
    </xf>
    <xf numFmtId="0" fontId="22" fillId="34" borderId="34" xfId="0" applyFont="1" applyFill="1" applyBorder="1" applyAlignment="1">
      <alignment horizontal="center" vertical="center"/>
    </xf>
    <xf numFmtId="0" fontId="22" fillId="34" borderId="33" xfId="0" applyFont="1" applyFill="1" applyBorder="1" applyAlignment="1">
      <alignment horizontal="center" vertical="center"/>
    </xf>
    <xf numFmtId="0" fontId="22" fillId="34" borderId="50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34" borderId="21" xfId="0" applyFont="1" applyFill="1" applyBorder="1" applyAlignment="1">
      <alignment horizontal="center" vertical="center" wrapText="1"/>
    </xf>
    <xf numFmtId="0" fontId="22" fillId="34" borderId="29" xfId="0" applyFont="1" applyFill="1" applyBorder="1" applyAlignment="1">
      <alignment horizontal="center" vertical="center"/>
    </xf>
  </cellXfs>
  <cellStyles count="84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SAPBorder" xfId="64"/>
    <cellStyle name="SAPDataCell" xfId="46"/>
    <cellStyle name="SAPDataRemoved" xfId="65"/>
    <cellStyle name="SAPDataTotalCell" xfId="47"/>
    <cellStyle name="SAPDimensionCell" xfId="45"/>
    <cellStyle name="SAPEditableDataCell" xfId="49"/>
    <cellStyle name="SAPEditableDataTotalCell" xfId="52"/>
    <cellStyle name="SAPEmphasized" xfId="75"/>
    <cellStyle name="SAPEmphasizedEditableDataCell" xfId="77"/>
    <cellStyle name="SAPEmphasizedEditableDataTotalCell" xfId="78"/>
    <cellStyle name="SAPEmphasizedLockedDataCell" xfId="81"/>
    <cellStyle name="SAPEmphasizedLockedDataTotalCell" xfId="82"/>
    <cellStyle name="SAPEmphasizedReadonlyDataCell" xfId="79"/>
    <cellStyle name="SAPEmphasizedReadonlyDataTotalCell" xfId="80"/>
    <cellStyle name="SAPEmphasizedTotal" xfId="76"/>
    <cellStyle name="SAPError" xfId="66"/>
    <cellStyle name="SAPExceptionLevel1" xfId="55"/>
    <cellStyle name="SAPExceptionLevel2" xfId="56"/>
    <cellStyle name="SAPExceptionLevel3" xfId="57"/>
    <cellStyle name="SAPExceptionLevel4" xfId="58"/>
    <cellStyle name="SAPExceptionLevel5" xfId="59"/>
    <cellStyle name="SAPExceptionLevel6" xfId="60"/>
    <cellStyle name="SAPExceptionLevel7" xfId="61"/>
    <cellStyle name="SAPExceptionLevel8" xfId="62"/>
    <cellStyle name="SAPExceptionLevel9" xfId="63"/>
    <cellStyle name="SAPFormula" xfId="83"/>
    <cellStyle name="SAPGroupingFillCell" xfId="48"/>
    <cellStyle name="SAPHierarchyCell0" xfId="70"/>
    <cellStyle name="SAPHierarchyCell1" xfId="71"/>
    <cellStyle name="SAPHierarchyCell2" xfId="72"/>
    <cellStyle name="SAPHierarchyCell3" xfId="73"/>
    <cellStyle name="SAPHierarchyCell4" xfId="74"/>
    <cellStyle name="SAPLockedDataCell" xfId="51"/>
    <cellStyle name="SAPLockedDataTotalCell" xfId="54"/>
    <cellStyle name="SAPMemberCell" xfId="68"/>
    <cellStyle name="SAPMemberTotalCell" xfId="69"/>
    <cellStyle name="SAPMessageText" xfId="67"/>
    <cellStyle name="SAPReadonlyDataCell" xfId="50"/>
    <cellStyle name="SAPReadonlyDataTotalCell" xfId="53"/>
    <cellStyle name="百分比" xfId="2" builtinId="5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差" xfId="9" builtinId="27" customBuiltin="1"/>
    <cellStyle name="常规" xfId="0" builtinId="0"/>
    <cellStyle name="超链接" xfId="44" builtinId="8"/>
    <cellStyle name="好" xfId="8" builtinId="26" customBuiltin="1"/>
    <cellStyle name="汇总" xfId="19" builtinId="25" customBuiltin="1"/>
    <cellStyle name="计算" xfId="13" builtinId="22" customBuiltin="1"/>
    <cellStyle name="检查单元格" xfId="15" builtinId="23" customBuiltin="1"/>
    <cellStyle name="解释性文本" xfId="18" builtinId="53" customBuiltin="1"/>
    <cellStyle name="警告文本" xfId="16" builtinId="11" customBuiltin="1"/>
    <cellStyle name="链接单元格" xfId="14" builtinId="24" customBuiltin="1"/>
    <cellStyle name="千位分隔" xfId="1" builtinId="3"/>
    <cellStyle name="适中" xfId="10" builtinId="28" customBuiltin="1"/>
    <cellStyle name="输出" xfId="12" builtinId="21" customBuiltin="1"/>
    <cellStyle name="输入" xfId="11" builtinId="20" customBuiltin="1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注释" xfId="17" builtinId="10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0.bin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customProperty" Target="../customProperty1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7.bin"/><Relationship Id="rId1" Type="http://schemas.openxmlformats.org/officeDocument/2006/relationships/customProperty" Target="../customProperty1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9.bin"/><Relationship Id="rId1" Type="http://schemas.openxmlformats.org/officeDocument/2006/relationships/customProperty" Target="../customProperty1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1.bin"/><Relationship Id="rId1" Type="http://schemas.openxmlformats.org/officeDocument/2006/relationships/customProperty" Target="../customProperty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9" type="noConversion"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35"/>
  <sheetViews>
    <sheetView showGridLines="0" zoomScale="85" zoomScaleNormal="85" workbookViewId="0">
      <selection sqref="A1:XFD1048576"/>
    </sheetView>
  </sheetViews>
  <sheetFormatPr defaultRowHeight="16.5" outlineLevelCol="1" x14ac:dyDescent="0.2"/>
  <cols>
    <col min="1" max="1" width="3.625" style="3" customWidth="1"/>
    <col min="2" max="2" width="6.125" style="4" customWidth="1"/>
    <col min="3" max="3" width="17.625" style="4" customWidth="1"/>
    <col min="4" max="6" width="9" style="3" hidden="1" customWidth="1" outlineLevel="1"/>
    <col min="7" max="7" width="9" style="3" customWidth="1" collapsed="1"/>
    <col min="8" max="9" width="9" style="3" customWidth="1"/>
    <col min="10" max="10" width="9" style="3"/>
    <col min="11" max="11" width="9" style="3" hidden="1" customWidth="1" outlineLevel="1"/>
    <col min="12" max="12" width="9" style="3" collapsed="1"/>
    <col min="13" max="13" width="9" style="3" customWidth="1"/>
    <col min="14" max="14" width="9" style="3"/>
    <col min="15" max="20" width="8.5" style="3" customWidth="1"/>
    <col min="21" max="21" width="9" style="3" customWidth="1"/>
    <col min="22" max="30" width="9" style="3" hidden="1" customWidth="1" outlineLevel="1"/>
    <col min="31" max="31" width="8.5" style="3" customWidth="1" collapsed="1"/>
    <col min="32" max="33" width="8.5" style="3" customWidth="1"/>
    <col min="34" max="40" width="9" style="3" customWidth="1"/>
    <col min="41" max="16384" width="9" style="3"/>
  </cols>
  <sheetData>
    <row r="2" spans="2:43" x14ac:dyDescent="0.2">
      <c r="B2" s="196" t="s">
        <v>54</v>
      </c>
      <c r="C2" s="198" t="s">
        <v>59</v>
      </c>
      <c r="D2" s="196" t="s">
        <v>47</v>
      </c>
      <c r="E2" s="197"/>
      <c r="F2" s="198"/>
      <c r="G2" s="196" t="s">
        <v>48</v>
      </c>
      <c r="H2" s="197"/>
      <c r="I2" s="198"/>
      <c r="J2" s="196">
        <f>部所排名!J2</f>
        <v>2505</v>
      </c>
      <c r="K2" s="197"/>
      <c r="L2" s="197"/>
      <c r="M2" s="197"/>
      <c r="N2" s="198"/>
      <c r="O2" s="207" t="s">
        <v>75</v>
      </c>
      <c r="P2" s="205"/>
      <c r="Q2" s="205"/>
      <c r="R2" s="205"/>
      <c r="S2" s="205"/>
      <c r="T2" s="205"/>
      <c r="U2" s="206"/>
      <c r="V2" s="158"/>
      <c r="W2" s="196" t="s">
        <v>74</v>
      </c>
      <c r="X2" s="197"/>
      <c r="Y2" s="197"/>
      <c r="Z2" s="197"/>
      <c r="AA2" s="197"/>
      <c r="AB2" s="197"/>
      <c r="AC2" s="197"/>
      <c r="AD2" s="198"/>
      <c r="AE2" s="203" t="s">
        <v>102</v>
      </c>
      <c r="AF2" s="205" t="s">
        <v>103</v>
      </c>
      <c r="AG2" s="206"/>
      <c r="AH2" s="196" t="s">
        <v>67</v>
      </c>
      <c r="AI2" s="197"/>
      <c r="AJ2" s="197"/>
      <c r="AK2" s="197"/>
      <c r="AL2" s="197"/>
      <c r="AM2" s="208"/>
      <c r="AN2" s="198"/>
      <c r="AP2" s="195" t="s">
        <v>79</v>
      </c>
      <c r="AQ2" s="195"/>
    </row>
    <row r="3" spans="2:43" x14ac:dyDescent="0.2">
      <c r="B3" s="201"/>
      <c r="C3" s="202"/>
      <c r="D3" s="156">
        <f>部所排名!D3</f>
        <v>2502</v>
      </c>
      <c r="E3" s="10">
        <f>部所排名!E3</f>
        <v>2503</v>
      </c>
      <c r="F3" s="157">
        <f>部所排名!F3</f>
        <v>2504</v>
      </c>
      <c r="G3" s="156">
        <f>部所排名!G3</f>
        <v>2502</v>
      </c>
      <c r="H3" s="10">
        <f>部所排名!H3</f>
        <v>2503</v>
      </c>
      <c r="I3" s="157">
        <f>部所排名!I3</f>
        <v>2504</v>
      </c>
      <c r="J3" s="156" t="str">
        <f>部所排名!J3</f>
        <v>出货</v>
      </c>
      <c r="K3" s="10" t="str">
        <f>部所排名!K3</f>
        <v>同期</v>
      </c>
      <c r="L3" s="10" t="str">
        <f>部所排名!L3</f>
        <v>成长</v>
      </c>
      <c r="M3" s="10" t="str">
        <f>部所排名!M3</f>
        <v>目标</v>
      </c>
      <c r="N3" s="157" t="str">
        <f>部所排名!N3</f>
        <v>达成</v>
      </c>
      <c r="O3" s="167" t="str">
        <f>部所排名!S3</f>
        <v>鸡汁味</v>
      </c>
      <c r="P3" s="10" t="str">
        <f>部所排名!Q3</f>
        <v>羊肉串</v>
      </c>
      <c r="Q3" s="10" t="str">
        <f>部所排名!O3</f>
        <v>小酥肉</v>
      </c>
      <c r="R3" s="153" t="str">
        <f>部所排名!T3</f>
        <v>鱿鱼</v>
      </c>
      <c r="S3" s="10" t="str">
        <f>部所排名!R3</f>
        <v>小龙虾</v>
      </c>
      <c r="T3" s="10" t="str">
        <f>部所排名!U3</f>
        <v>番茄</v>
      </c>
      <c r="U3" s="159" t="str">
        <f>部所排名!P3</f>
        <v>原味</v>
      </c>
      <c r="V3" s="159" t="str">
        <f>部所排名!V3</f>
        <v>火鸡</v>
      </c>
      <c r="W3" s="156" t="s">
        <v>66</v>
      </c>
      <c r="X3" s="10" t="s">
        <v>40</v>
      </c>
      <c r="Y3" s="10" t="s">
        <v>41</v>
      </c>
      <c r="Z3" s="10" t="s">
        <v>42</v>
      </c>
      <c r="AA3" s="10" t="s">
        <v>43</v>
      </c>
      <c r="AB3" s="10" t="s">
        <v>44</v>
      </c>
      <c r="AC3" s="10" t="s">
        <v>72</v>
      </c>
      <c r="AD3" s="157" t="s">
        <v>73</v>
      </c>
      <c r="AE3" s="204"/>
      <c r="AF3" s="12" t="s">
        <v>100</v>
      </c>
      <c r="AG3" s="157" t="s">
        <v>104</v>
      </c>
      <c r="AH3" s="75" t="str">
        <f>部所排名!AE3</f>
        <v>4月末</v>
      </c>
      <c r="AI3" s="182" t="str">
        <f>部所排名!AF3</f>
        <v>5月末</v>
      </c>
      <c r="AJ3" s="182" t="str">
        <f>部所排名!AG3</f>
        <v>变化</v>
      </c>
      <c r="AK3" s="182" t="s">
        <v>112</v>
      </c>
      <c r="AL3" s="182" t="s">
        <v>113</v>
      </c>
      <c r="AM3" s="186" t="s">
        <v>115</v>
      </c>
      <c r="AN3" s="76" t="s">
        <v>114</v>
      </c>
      <c r="AP3" s="101" t="s">
        <v>76</v>
      </c>
      <c r="AQ3" s="101" t="s">
        <v>77</v>
      </c>
    </row>
    <row r="4" spans="2:43" s="8" customFormat="1" ht="15" x14ac:dyDescent="0.2">
      <c r="B4" s="199" t="str">
        <f>部所排名!B4</f>
        <v>黑龙江</v>
      </c>
      <c r="C4" s="200"/>
      <c r="D4" s="39">
        <f>部所排名!D4</f>
        <v>24.120999999999999</v>
      </c>
      <c r="E4" s="40">
        <f>部所排名!E4</f>
        <v>43.899000000000001</v>
      </c>
      <c r="F4" s="41">
        <f>部所排名!F4</f>
        <v>32.798999999999999</v>
      </c>
      <c r="G4" s="42">
        <f>部所排名!G4</f>
        <v>-0.11767503109225264</v>
      </c>
      <c r="H4" s="43">
        <f>部所排名!H4</f>
        <v>1.6439371136169001E-2</v>
      </c>
      <c r="I4" s="44">
        <f>部所排名!I4</f>
        <v>-3.489774900691478E-2</v>
      </c>
      <c r="J4" s="39">
        <f>部所排名!J4</f>
        <v>35.893999999999998</v>
      </c>
      <c r="K4" s="40">
        <f>部所排名!K4</f>
        <v>45.45</v>
      </c>
      <c r="L4" s="43">
        <f>部所排名!L4</f>
        <v>-0.21025302530253032</v>
      </c>
      <c r="M4" s="40">
        <f>部所排名!M4</f>
        <v>46.4</v>
      </c>
      <c r="N4" s="44">
        <f>部所排名!N4</f>
        <v>0.77357758620689698</v>
      </c>
      <c r="O4" s="168">
        <f>部所排名!S4</f>
        <v>0.17220148214186215</v>
      </c>
      <c r="P4" s="43">
        <f>部所排名!Q4</f>
        <v>0.15907951189613864</v>
      </c>
      <c r="Q4" s="154">
        <f>部所排名!O4</f>
        <v>0.15178024182314595</v>
      </c>
      <c r="R4" s="43">
        <f>部所排名!T4</f>
        <v>0.13927118738507829</v>
      </c>
      <c r="S4" s="43">
        <f>部所排名!R4</f>
        <v>0.11595252688471611</v>
      </c>
      <c r="T4" s="43">
        <f>部所排名!U4</f>
        <v>0.11531175126762135</v>
      </c>
      <c r="U4" s="152">
        <f>部所排名!P4</f>
        <v>0.10388922939767092</v>
      </c>
      <c r="V4" s="152">
        <f>部所排名!V4</f>
        <v>4.2514069203766651E-2</v>
      </c>
      <c r="W4" s="39">
        <f>部所排名!W4</f>
        <v>5.4480000000000004</v>
      </c>
      <c r="X4" s="40">
        <f>部所排名!X4</f>
        <v>3.7290000000000001</v>
      </c>
      <c r="Y4" s="40">
        <f>部所排名!Y4</f>
        <v>5.71</v>
      </c>
      <c r="Z4" s="40">
        <f>部所排名!Z4</f>
        <v>4.1619999999999999</v>
      </c>
      <c r="AA4" s="40">
        <f>部所排名!AA4</f>
        <v>6.181</v>
      </c>
      <c r="AB4" s="40">
        <f>部所排名!AB4</f>
        <v>4.9989999999999997</v>
      </c>
      <c r="AC4" s="40">
        <f>部所排名!AC4</f>
        <v>4.1390000000000002</v>
      </c>
      <c r="AD4" s="41">
        <f>部所排名!AD4</f>
        <v>1.526</v>
      </c>
      <c r="AE4" s="145">
        <f>基础表!AQ4</f>
        <v>0.70226258934809493</v>
      </c>
      <c r="AF4" s="42">
        <f>基础表!AR4</f>
        <v>0.91942324003392695</v>
      </c>
      <c r="AG4" s="152">
        <f>基础表!AS4</f>
        <v>0.99406276505513103</v>
      </c>
      <c r="AH4" s="39">
        <f>部所排名!AE4</f>
        <v>35.417999999999999</v>
      </c>
      <c r="AI4" s="40">
        <f>部所排名!AF4</f>
        <v>33.398499999999999</v>
      </c>
      <c r="AJ4" s="40">
        <f>部所排名!AG4</f>
        <v>-2.0195000000000007</v>
      </c>
      <c r="AK4" s="40">
        <f>Sheet1!F32/1000</f>
        <v>27.564281999999999</v>
      </c>
      <c r="AL4" s="43">
        <f>AI4/AK4</f>
        <v>1.2116586240120457</v>
      </c>
      <c r="AM4" s="187">
        <f>Sheet3!D33</f>
        <v>38</v>
      </c>
      <c r="AN4" s="44">
        <f>AI4/AM4</f>
        <v>0.87890789473684205</v>
      </c>
      <c r="AP4" s="86" t="b">
        <f>SUM(O4:V4)=1</f>
        <v>1</v>
      </c>
      <c r="AQ4" s="86" t="b">
        <f t="shared" ref="AQ4:AQ34" si="0">SUM(W4:AD4)=J4</f>
        <v>1</v>
      </c>
    </row>
    <row r="5" spans="2:43" x14ac:dyDescent="0.2">
      <c r="B5" s="46">
        <v>1</v>
      </c>
      <c r="C5" s="47" t="str">
        <f>部所排名!C5</f>
        <v>哈尔滨营业部</v>
      </c>
      <c r="D5" s="48">
        <f>部所排名!D5</f>
        <v>7.4180000000000001</v>
      </c>
      <c r="E5" s="49">
        <f>部所排名!E5</f>
        <v>13.180999999999999</v>
      </c>
      <c r="F5" s="50">
        <f>部所排名!F5</f>
        <v>9.8710000000000004</v>
      </c>
      <c r="G5" s="51">
        <f>部所排名!G5</f>
        <v>-0.12636909669061358</v>
      </c>
      <c r="H5" s="52">
        <f>部所排名!H5</f>
        <v>8.9068825910931126E-2</v>
      </c>
      <c r="I5" s="53">
        <f>部所排名!I5</f>
        <v>1.6371499176276894E-2</v>
      </c>
      <c r="J5" s="48">
        <f>部所排名!J5</f>
        <v>12.553000000000001</v>
      </c>
      <c r="K5" s="49">
        <f>部所排名!K5</f>
        <v>13.695</v>
      </c>
      <c r="L5" s="52">
        <f>部所排名!L5</f>
        <v>-8.3388097845929154E-2</v>
      </c>
      <c r="M5" s="49">
        <f>部所排名!M5</f>
        <v>15.6</v>
      </c>
      <c r="N5" s="53">
        <f>部所排名!N5</f>
        <v>0.80467948717948701</v>
      </c>
      <c r="O5" s="169">
        <f>部所排名!O5</f>
        <v>0.10626941766908309</v>
      </c>
      <c r="P5" s="52">
        <f>部所排名!P5</f>
        <v>6.8111208476061488E-2</v>
      </c>
      <c r="Q5" s="52">
        <f>部所排名!Q5</f>
        <v>0.14426830239783317</v>
      </c>
      <c r="R5" s="52">
        <f>部所排名!R5</f>
        <v>9.3364136063092476E-2</v>
      </c>
      <c r="S5" s="52">
        <f>部所排名!S5</f>
        <v>0.23213574444355931</v>
      </c>
      <c r="T5" s="52">
        <f>部所排名!T5</f>
        <v>0.13311558989882896</v>
      </c>
      <c r="U5" s="160">
        <f>部所排名!U5</f>
        <v>0.10117103481239544</v>
      </c>
      <c r="V5" s="160">
        <f>部所排名!V5</f>
        <v>0.12156456623914602</v>
      </c>
      <c r="W5" s="48">
        <f>部所排名!W5</f>
        <v>1.3340000000000001</v>
      </c>
      <c r="X5" s="49">
        <f>部所排名!X5</f>
        <v>0.85499999999999998</v>
      </c>
      <c r="Y5" s="49">
        <f>部所排名!Y5</f>
        <v>1.8109999999999999</v>
      </c>
      <c r="Z5" s="49">
        <f>部所排名!Z5</f>
        <v>1.1719999999999999</v>
      </c>
      <c r="AA5" s="49">
        <f>部所排名!AA5</f>
        <v>2.9140000000000001</v>
      </c>
      <c r="AB5" s="49">
        <f>部所排名!AB5</f>
        <v>1.671</v>
      </c>
      <c r="AC5" s="49">
        <f>部所排名!AC5</f>
        <v>1.27</v>
      </c>
      <c r="AD5" s="50">
        <f>部所排名!AD5</f>
        <v>1.526</v>
      </c>
      <c r="AE5" s="146">
        <f>IF($C5="黑龙电商组(DY)","",VLOOKUP($B5,基础表!$A:$AZ,COLUMN(基础表!AQ$1),0))</f>
        <v>0.78062549395958003</v>
      </c>
      <c r="AF5" s="54">
        <f>IF($C5="黑龙电商组(DY)","",VLOOKUP($B5,基础表!$A:$AZ,COLUMN(基础表!AR$1),0))</f>
        <v>0.97324414715719099</v>
      </c>
      <c r="AG5" s="53">
        <f>IF($C5="黑龙电商组(DY)","",VLOOKUP($B5,基础表!$A:$AZ,COLUMN(基础表!AS$1),0))</f>
        <v>0.98662207357859499</v>
      </c>
      <c r="AH5" s="48">
        <f>部所排名!AE5</f>
        <v>5.52</v>
      </c>
      <c r="AI5" s="49">
        <f>部所排名!AF5</f>
        <v>4.6609999999999996</v>
      </c>
      <c r="AJ5" s="49">
        <f>部所排名!AG5</f>
        <v>-0.85899999999999999</v>
      </c>
      <c r="AK5" s="49">
        <f>VLOOKUP(C5,Sheet1!A:F,6,0)/1000</f>
        <v>4.7476450000000003</v>
      </c>
      <c r="AL5" s="52">
        <f t="shared" ref="AL5:AL34" si="1">AI5/AK5</f>
        <v>0.98174989916053101</v>
      </c>
      <c r="AM5" s="188">
        <f>VLOOKUP(C5,Sheet3!A:D,4,0)</f>
        <v>13.24</v>
      </c>
      <c r="AN5" s="53">
        <f t="shared" ref="AN5:AN34" si="2">AI5/AM5</f>
        <v>0.35203927492447123</v>
      </c>
      <c r="AO5" s="8"/>
      <c r="AP5" s="86" t="b">
        <f t="shared" ref="AP5:AP34" si="3">SUM(O5:V5)=1</f>
        <v>1</v>
      </c>
      <c r="AQ5" s="86" t="b">
        <f t="shared" si="0"/>
        <v>1</v>
      </c>
    </row>
    <row r="6" spans="2:43" x14ac:dyDescent="0.2">
      <c r="B6" s="55">
        <v>2</v>
      </c>
      <c r="C6" s="56" t="str">
        <f>部所排名!C6</f>
        <v>黑中营业部</v>
      </c>
      <c r="D6" s="57">
        <f>部所排名!D6</f>
        <v>5.1020000000000003</v>
      </c>
      <c r="E6" s="58">
        <f>部所排名!E6</f>
        <v>11.263</v>
      </c>
      <c r="F6" s="59">
        <f>部所排名!F6</f>
        <v>8.2739999999999991</v>
      </c>
      <c r="G6" s="60">
        <f>部所排名!G6</f>
        <v>-0.1475355054302423</v>
      </c>
      <c r="H6" s="61">
        <f>部所排名!H6</f>
        <v>-2.0353135600591488E-2</v>
      </c>
      <c r="I6" s="62">
        <f>部所排名!I6</f>
        <v>-6.5823642316811593E-2</v>
      </c>
      <c r="J6" s="57">
        <f>部所排名!J6</f>
        <v>7.4669999999999996</v>
      </c>
      <c r="K6" s="58">
        <f>部所排名!K6</f>
        <v>10.516999999999999</v>
      </c>
      <c r="L6" s="61">
        <f>部所排名!L6</f>
        <v>-0.29000665589046304</v>
      </c>
      <c r="M6" s="58">
        <f>部所排名!M6</f>
        <v>9.8000000000000007</v>
      </c>
      <c r="N6" s="62">
        <f>部所排名!N6</f>
        <v>0.76193877551020406</v>
      </c>
      <c r="O6" s="170">
        <f>部所排名!S6</f>
        <v>0.13847596089460293</v>
      </c>
      <c r="P6" s="61">
        <f>部所排名!Q6</f>
        <v>0.17061738315253785</v>
      </c>
      <c r="Q6" s="61">
        <f>部所排名!O6</f>
        <v>0.15575197535824295</v>
      </c>
      <c r="R6" s="61">
        <f>部所排名!T6</f>
        <v>0.13472612829784386</v>
      </c>
      <c r="S6" s="61">
        <f>部所排名!R6</f>
        <v>0.13619927681799918</v>
      </c>
      <c r="T6" s="61">
        <f>部所排名!U6</f>
        <v>0.12963706977367082</v>
      </c>
      <c r="U6" s="161">
        <f>部所排名!P6</f>
        <v>0.13459220570510244</v>
      </c>
      <c r="V6" s="161">
        <f>部所排名!V6</f>
        <v>0</v>
      </c>
      <c r="W6" s="57">
        <f>部所排名!W6</f>
        <v>1.163</v>
      </c>
      <c r="X6" s="58">
        <f>部所排名!X6</f>
        <v>1.0049999999999999</v>
      </c>
      <c r="Y6" s="58">
        <f>部所排名!Y6</f>
        <v>1.274</v>
      </c>
      <c r="Z6" s="58">
        <f>部所排名!Z6</f>
        <v>1.0169999999999999</v>
      </c>
      <c r="AA6" s="58">
        <f>部所排名!AA6</f>
        <v>1.034</v>
      </c>
      <c r="AB6" s="58">
        <f>部所排名!AB6</f>
        <v>1.006</v>
      </c>
      <c r="AC6" s="58">
        <f>部所排名!AC6</f>
        <v>0.96799999999999997</v>
      </c>
      <c r="AD6" s="59">
        <f>部所排名!AD6</f>
        <v>0</v>
      </c>
      <c r="AE6" s="147">
        <f>IF($C6="黑龙电商组(DY)","",VLOOKUP($B6,基础表!$A:$AZ,COLUMN(基础表!AQ$1),0))</f>
        <v>0.828043315907394</v>
      </c>
      <c r="AF6" s="63">
        <f>IF($C6="黑龙电商组(DY)","",VLOOKUP($B6,基础表!$A:$AZ,COLUMN(基础表!AR$1),0))</f>
        <v>0.94315789473684208</v>
      </c>
      <c r="AG6" s="62">
        <f>IF($C6="黑龙电商组(DY)","",VLOOKUP($B6,基础表!$A:$AZ,COLUMN(基础表!AS$1),0))</f>
        <v>0.995789473684211</v>
      </c>
      <c r="AH6" s="57">
        <f>部所排名!AE6</f>
        <v>9.1720000000000006</v>
      </c>
      <c r="AI6" s="58">
        <f>部所排名!AF6</f>
        <v>8.9049999999999994</v>
      </c>
      <c r="AJ6" s="58">
        <f>部所排名!AG6</f>
        <v>-0.26700000000000124</v>
      </c>
      <c r="AK6" s="58">
        <f>VLOOKUP(C6,Sheet1!A:F,6,0)/1000</f>
        <v>8.2876720000000006</v>
      </c>
      <c r="AL6" s="61">
        <f t="shared" si="1"/>
        <v>1.0744875038490904</v>
      </c>
      <c r="AM6" s="189">
        <f>VLOOKUP(C6,Sheet3!A:D,4,0)</f>
        <v>7.6</v>
      </c>
      <c r="AN6" s="62">
        <f t="shared" si="2"/>
        <v>1.1717105263157894</v>
      </c>
      <c r="AO6" s="8"/>
      <c r="AP6" s="86" t="b">
        <f t="shared" si="3"/>
        <v>1</v>
      </c>
      <c r="AQ6" s="86" t="b">
        <f t="shared" si="0"/>
        <v>1</v>
      </c>
    </row>
    <row r="7" spans="2:43" x14ac:dyDescent="0.2">
      <c r="B7" s="55">
        <v>3</v>
      </c>
      <c r="C7" s="56" t="str">
        <f>部所排名!C7</f>
        <v>黑东营业部</v>
      </c>
      <c r="D7" s="57">
        <f>部所排名!D7</f>
        <v>6.7779999999999996</v>
      </c>
      <c r="E7" s="58">
        <f>部所排名!E7</f>
        <v>10.417999999999999</v>
      </c>
      <c r="F7" s="59">
        <f>部所排名!F7</f>
        <v>7.7939999999999996</v>
      </c>
      <c r="G7" s="60">
        <f>部所排名!G7</f>
        <v>-9.9508436296001035E-2</v>
      </c>
      <c r="H7" s="61">
        <f>部所排名!H7</f>
        <v>-2.6718983557548759E-2</v>
      </c>
      <c r="I7" s="62">
        <f>部所排名!I7</f>
        <v>-5.0207165488666772E-2</v>
      </c>
      <c r="J7" s="57">
        <f>部所排名!J7</f>
        <v>7.5140000000000002</v>
      </c>
      <c r="K7" s="58">
        <f>部所排名!K7</f>
        <v>10.028</v>
      </c>
      <c r="L7" s="61">
        <f>部所排名!L7</f>
        <v>-0.25069804547267649</v>
      </c>
      <c r="M7" s="58">
        <f>部所排名!M7</f>
        <v>9.9</v>
      </c>
      <c r="N7" s="62">
        <f>部所排名!N7</f>
        <v>0.75898989898989899</v>
      </c>
      <c r="O7" s="170">
        <f>部所排名!S7</f>
        <v>0.12895927601809953</v>
      </c>
      <c r="P7" s="61">
        <f>部所排名!Q7</f>
        <v>0.14599414426404045</v>
      </c>
      <c r="Q7" s="61">
        <f>部所排名!O7</f>
        <v>0.19683257918552036</v>
      </c>
      <c r="R7" s="61">
        <f>部所排名!T7</f>
        <v>0.15597551237689644</v>
      </c>
      <c r="S7" s="61">
        <f>部所排名!R7</f>
        <v>0.11338834176204418</v>
      </c>
      <c r="T7" s="61">
        <f>部所排名!U7</f>
        <v>0.13627894596752729</v>
      </c>
      <c r="U7" s="161">
        <f>部所排名!P7</f>
        <v>0.1225712004258717</v>
      </c>
      <c r="V7" s="161">
        <f>部所排名!V7</f>
        <v>0</v>
      </c>
      <c r="W7" s="57">
        <f>部所排名!W7</f>
        <v>1.4790000000000001</v>
      </c>
      <c r="X7" s="58">
        <f>部所排名!X7</f>
        <v>0.92100000000000004</v>
      </c>
      <c r="Y7" s="58">
        <f>部所排名!Y7</f>
        <v>1.097</v>
      </c>
      <c r="Z7" s="58">
        <f>部所排名!Z7</f>
        <v>0.85199999999999998</v>
      </c>
      <c r="AA7" s="58">
        <f>部所排名!AA7</f>
        <v>0.96899999999999997</v>
      </c>
      <c r="AB7" s="58">
        <f>部所排名!AB7</f>
        <v>1.1719999999999999</v>
      </c>
      <c r="AC7" s="58">
        <f>部所排名!AC7</f>
        <v>1.024</v>
      </c>
      <c r="AD7" s="59">
        <f>部所排名!AD7</f>
        <v>0</v>
      </c>
      <c r="AE7" s="147">
        <f>IF($C7="黑龙电商组(DY)","",VLOOKUP($B7,基础表!$A:$AZ,COLUMN(基础表!AQ$1),0))</f>
        <v>0.54981441687829702</v>
      </c>
      <c r="AF7" s="63">
        <f>IF($C7="黑龙电商组(DY)","",VLOOKUP($B7,基础表!$A:$AZ,COLUMN(基础表!AR$1),0))</f>
        <v>0.82022471910112404</v>
      </c>
      <c r="AG7" s="62">
        <f>IF($C7="黑龙电商组(DY)","",VLOOKUP($B7,基础表!$A:$AZ,COLUMN(基础表!AS$1),0))</f>
        <v>0.99625468164793995</v>
      </c>
      <c r="AH7" s="57">
        <f>部所排名!AE7</f>
        <v>10.843</v>
      </c>
      <c r="AI7" s="58">
        <f>部所排名!AF7</f>
        <v>9.6774999999999984</v>
      </c>
      <c r="AJ7" s="58">
        <f>部所排名!AG7</f>
        <v>-1.1655000000000015</v>
      </c>
      <c r="AK7" s="58">
        <f>VLOOKUP(C7,Sheet1!A:F,6,0)/1000</f>
        <v>7.3180550000000002</v>
      </c>
      <c r="AL7" s="61">
        <f t="shared" si="1"/>
        <v>1.322414220718483</v>
      </c>
      <c r="AM7" s="189">
        <f>VLOOKUP(C7,Sheet3!A:D,4,0)</f>
        <v>8</v>
      </c>
      <c r="AN7" s="62">
        <f t="shared" si="2"/>
        <v>1.2096874999999998</v>
      </c>
      <c r="AO7" s="8"/>
      <c r="AP7" s="86" t="b">
        <f t="shared" si="3"/>
        <v>1</v>
      </c>
      <c r="AQ7" s="86" t="b">
        <f t="shared" si="0"/>
        <v>1</v>
      </c>
    </row>
    <row r="8" spans="2:43" x14ac:dyDescent="0.2">
      <c r="B8" s="64">
        <v>4</v>
      </c>
      <c r="C8" s="65" t="str">
        <f>部所排名!C8</f>
        <v>黑西营业部</v>
      </c>
      <c r="D8" s="66">
        <f>部所排名!D8</f>
        <v>4.72</v>
      </c>
      <c r="E8" s="67">
        <f>部所排名!E8</f>
        <v>8.9269999999999996</v>
      </c>
      <c r="F8" s="68">
        <f>部所排名!F8</f>
        <v>6.71</v>
      </c>
      <c r="G8" s="69">
        <f>部所排名!G8</f>
        <v>-9.8376313276026806E-2</v>
      </c>
      <c r="H8" s="70">
        <f>部所排名!H8</f>
        <v>1.6163915765509351E-2</v>
      </c>
      <c r="I8" s="71">
        <f>部所排名!I8</f>
        <v>-5.6258790436005679E-2</v>
      </c>
      <c r="J8" s="66">
        <f>部所排名!J8</f>
        <v>8.26</v>
      </c>
      <c r="K8" s="67">
        <f>部所排名!K8</f>
        <v>11.04</v>
      </c>
      <c r="L8" s="70">
        <f>部所排名!L8</f>
        <v>-0.25181159420289856</v>
      </c>
      <c r="M8" s="67">
        <f>部所排名!M8</f>
        <v>11</v>
      </c>
      <c r="N8" s="71">
        <f>部所排名!N8</f>
        <v>0.75090909090909097</v>
      </c>
      <c r="O8" s="171">
        <f>部所排名!S8</f>
        <v>0.15302663438256658</v>
      </c>
      <c r="P8" s="70">
        <f>部所排名!Q8</f>
        <v>0.17288135593220338</v>
      </c>
      <c r="Q8" s="70">
        <f>部所排名!O8</f>
        <v>0.17820823244552059</v>
      </c>
      <c r="R8" s="70">
        <f>部所排名!T8</f>
        <v>0.13922518159806294</v>
      </c>
      <c r="S8" s="70">
        <f>部所排名!R8</f>
        <v>0.1357142857142857</v>
      </c>
      <c r="T8" s="70">
        <f>部所排名!U8</f>
        <v>0.10617433414043584</v>
      </c>
      <c r="U8" s="162">
        <f>部所排名!P8</f>
        <v>0.11476997578692494</v>
      </c>
      <c r="V8" s="162">
        <f>部所排名!V8</f>
        <v>0</v>
      </c>
      <c r="W8" s="66">
        <f>部所排名!W8</f>
        <v>1.472</v>
      </c>
      <c r="X8" s="67">
        <f>部所排名!X8</f>
        <v>0.94799999999999995</v>
      </c>
      <c r="Y8" s="67">
        <f>部所排名!Y8</f>
        <v>1.4279999999999999</v>
      </c>
      <c r="Z8" s="67">
        <f>部所排名!Z8</f>
        <v>1.121</v>
      </c>
      <c r="AA8" s="67">
        <f>部所排名!AA8</f>
        <v>1.264</v>
      </c>
      <c r="AB8" s="67">
        <f>部所排名!AB8</f>
        <v>1.1499999999999999</v>
      </c>
      <c r="AC8" s="67">
        <f>部所排名!AC8</f>
        <v>0.877</v>
      </c>
      <c r="AD8" s="68">
        <f>部所排名!AD8</f>
        <v>0</v>
      </c>
      <c r="AE8" s="148">
        <f>IF($C8="黑龙电商组(DY)","",VLOOKUP($B8,基础表!$A:$AZ,COLUMN(基础表!AQ$1),0))</f>
        <v>0.63737005535304403</v>
      </c>
      <c r="AF8" s="72">
        <f>IF($C8="黑龙电商组(DY)","",VLOOKUP($B8,基础表!$A:$AZ,COLUMN(基础表!AR$1),0))</f>
        <v>0.91304347826086996</v>
      </c>
      <c r="AG8" s="71">
        <f>IF($C8="黑龙电商组(DY)","",VLOOKUP($B8,基础表!$A:$AZ,COLUMN(基础表!AS$1),0))</f>
        <v>1</v>
      </c>
      <c r="AH8" s="66">
        <f>部所排名!AE8</f>
        <v>9.8829999999999991</v>
      </c>
      <c r="AI8" s="67">
        <f>部所排名!AF8</f>
        <v>10.154999999999999</v>
      </c>
      <c r="AJ8" s="67">
        <f>部所排名!AG8</f>
        <v>0.27200000000000024</v>
      </c>
      <c r="AK8" s="67">
        <f>VLOOKUP(C8,Sheet1!A:F,6,0)/1000</f>
        <v>7.2109100000000002</v>
      </c>
      <c r="AL8" s="70">
        <f t="shared" si="1"/>
        <v>1.4082827271453948</v>
      </c>
      <c r="AM8" s="190">
        <f>VLOOKUP(C8,Sheet3!A:D,4,0)</f>
        <v>9</v>
      </c>
      <c r="AN8" s="71">
        <f t="shared" si="2"/>
        <v>1.1283333333333332</v>
      </c>
      <c r="AO8" s="8"/>
      <c r="AP8" s="86" t="b">
        <f t="shared" si="3"/>
        <v>1</v>
      </c>
      <c r="AQ8" s="86" t="b">
        <f t="shared" si="0"/>
        <v>1</v>
      </c>
    </row>
    <row r="9" spans="2:43" x14ac:dyDescent="0.2">
      <c r="B9" s="128">
        <v>1</v>
      </c>
      <c r="C9" s="129" t="str">
        <f>部所排名!C9</f>
        <v>哈尔滨OT所</v>
      </c>
      <c r="D9" s="32">
        <f>部所排名!D9</f>
        <v>0.86299999999999999</v>
      </c>
      <c r="E9" s="33">
        <f>部所排名!E9</f>
        <v>2.17</v>
      </c>
      <c r="F9" s="34">
        <f>部所排名!F9</f>
        <v>1.2769999999999999</v>
      </c>
      <c r="G9" s="35">
        <f>部所排名!G9</f>
        <v>-0.49825581395348839</v>
      </c>
      <c r="H9" s="36">
        <f>部所排名!H9</f>
        <v>2.333333333333333</v>
      </c>
      <c r="I9" s="37">
        <f>部所排名!I9</f>
        <v>0.18131359851988904</v>
      </c>
      <c r="J9" s="32">
        <f>部所排名!J9</f>
        <v>4.149</v>
      </c>
      <c r="K9" s="33">
        <f>部所排名!K9</f>
        <v>1.208</v>
      </c>
      <c r="L9" s="36">
        <f>部所排名!L9</f>
        <v>2.4346026490066226</v>
      </c>
      <c r="M9" s="33">
        <f>部所排名!M9</f>
        <v>1.573</v>
      </c>
      <c r="N9" s="37">
        <f>部所排名!N9</f>
        <v>2.6376350921805498</v>
      </c>
      <c r="O9" s="172">
        <f>部所排名!S9</f>
        <v>0.43142926006266569</v>
      </c>
      <c r="P9" s="36">
        <f>部所排名!Q9</f>
        <v>7.8573150156664259E-2</v>
      </c>
      <c r="Q9" s="36"/>
      <c r="R9" s="36">
        <f>部所排名!T9</f>
        <v>0.12051096649795132</v>
      </c>
      <c r="S9" s="36"/>
      <c r="T9" s="36"/>
      <c r="U9" s="163">
        <f>部所排名!P9</f>
        <v>5.5435044589057601E-3</v>
      </c>
      <c r="V9" s="163">
        <f>部所排名!V9</f>
        <v>0.36394311882381297</v>
      </c>
      <c r="W9" s="32">
        <f>部所排名!W9</f>
        <v>0</v>
      </c>
      <c r="X9" s="33">
        <f>部所排名!X9</f>
        <v>2.3E-2</v>
      </c>
      <c r="Y9" s="33">
        <f>部所排名!Y9</f>
        <v>0.32600000000000001</v>
      </c>
      <c r="Z9" s="33">
        <f>部所排名!Z9</f>
        <v>0</v>
      </c>
      <c r="AA9" s="33">
        <f>部所排名!AA9</f>
        <v>1.79</v>
      </c>
      <c r="AB9" s="33">
        <f>部所排名!AB9</f>
        <v>0.5</v>
      </c>
      <c r="AC9" s="33">
        <f>部所排名!AC9</f>
        <v>0</v>
      </c>
      <c r="AD9" s="34">
        <f>部所排名!AD9</f>
        <v>1.51</v>
      </c>
      <c r="AE9" s="149" t="str">
        <f>IF($C9="哈尔滨OT所","",VLOOKUP($B9,基础表!$C:$AZ,COLUMN(基础表!AQ$1)-2,0))</f>
        <v/>
      </c>
      <c r="AF9" s="38" t="str">
        <f>IF($C9="哈尔滨OT所","",VLOOKUP($B9,基础表!$C:$AZ,COLUMN(基础表!AR$1)-2,0))</f>
        <v/>
      </c>
      <c r="AG9" s="37" t="str">
        <f>IF($C9="哈尔滨OT所","",VLOOKUP($B9,基础表!$C:$AZ,COLUMN(基础表!AS$1)-2,0))</f>
        <v/>
      </c>
      <c r="AH9" s="32"/>
      <c r="AI9" s="33"/>
      <c r="AJ9" s="33"/>
      <c r="AK9" s="33"/>
      <c r="AL9" s="36"/>
      <c r="AM9" s="191">
        <f>VLOOKUP(C9,Sheet3!A:D,4,0)</f>
        <v>2.7069999999999999</v>
      </c>
      <c r="AN9" s="37"/>
      <c r="AO9" s="8"/>
      <c r="AP9" s="86" t="b">
        <f t="shared" si="3"/>
        <v>1</v>
      </c>
      <c r="AQ9" s="86" t="b">
        <f t="shared" si="0"/>
        <v>1</v>
      </c>
    </row>
    <row r="10" spans="2:43" x14ac:dyDescent="0.2">
      <c r="B10" s="130">
        <v>2</v>
      </c>
      <c r="C10" s="125" t="str">
        <f>部所排名!C10</f>
        <v>海伦外埠所</v>
      </c>
      <c r="D10" s="131">
        <f>部所排名!D10</f>
        <v>1.004</v>
      </c>
      <c r="E10" s="132">
        <f>部所排名!E10</f>
        <v>2.5910000000000002</v>
      </c>
      <c r="F10" s="133">
        <f>部所排名!F10</f>
        <v>2.58</v>
      </c>
      <c r="G10" s="134">
        <f>部所排名!G10</f>
        <v>-0.14698385726423113</v>
      </c>
      <c r="H10" s="135">
        <f>部所排名!H10</f>
        <v>-3.4649776453055114E-2</v>
      </c>
      <c r="I10" s="136">
        <f>部所排名!I10</f>
        <v>-0.13509889373114314</v>
      </c>
      <c r="J10" s="131">
        <f>部所排名!J10</f>
        <v>2.0710000000000002</v>
      </c>
      <c r="K10" s="132">
        <f>部所排名!K10</f>
        <v>2.34</v>
      </c>
      <c r="L10" s="137">
        <f>部所排名!L10</f>
        <v>-0.11495726495726488</v>
      </c>
      <c r="M10" s="132">
        <f>部所排名!M10</f>
        <v>1.8680000000000001</v>
      </c>
      <c r="N10" s="136">
        <f>部所排名!N10</f>
        <v>1.1086723768736599</v>
      </c>
      <c r="O10" s="173">
        <f>部所排名!S10</f>
        <v>0.14002897151134716</v>
      </c>
      <c r="P10" s="135">
        <f>部所排名!Q10</f>
        <v>0.14292612264606469</v>
      </c>
      <c r="Q10" s="135">
        <f>部所排名!O10</f>
        <v>0.17141477547078704</v>
      </c>
      <c r="R10" s="135">
        <f>部所排名!T10</f>
        <v>0.1521004345726702</v>
      </c>
      <c r="S10" s="135">
        <f>部所排名!R10</f>
        <v>0.1183003380009657</v>
      </c>
      <c r="T10" s="135">
        <f>部所排名!U10</f>
        <v>0.14968614196040558</v>
      </c>
      <c r="U10" s="164">
        <f>部所排名!P10</f>
        <v>0.12554321583775954</v>
      </c>
      <c r="V10" s="164">
        <f>部所排名!V10</f>
        <v>0</v>
      </c>
      <c r="W10" s="131">
        <f>部所排名!W10</f>
        <v>0.35499999999999998</v>
      </c>
      <c r="X10" s="132">
        <f>部所排名!X10</f>
        <v>0.26</v>
      </c>
      <c r="Y10" s="132">
        <f>部所排名!Y10</f>
        <v>0.29599999999999999</v>
      </c>
      <c r="Z10" s="132">
        <f>部所排名!Z10</f>
        <v>0.245</v>
      </c>
      <c r="AA10" s="132">
        <f>部所排名!AA10</f>
        <v>0.28999999999999998</v>
      </c>
      <c r="AB10" s="132">
        <f>部所排名!AB10</f>
        <v>0.315</v>
      </c>
      <c r="AC10" s="132">
        <f>部所排名!AC10</f>
        <v>0.31</v>
      </c>
      <c r="AD10" s="133">
        <f>部所排名!AD10</f>
        <v>0</v>
      </c>
      <c r="AE10" s="150">
        <f>IF($C10="哈尔滨OT所","",VLOOKUP($B10,基础表!$C:$AZ,COLUMN(基础表!AQ$1)-2,0))</f>
        <v>0.86951631046119204</v>
      </c>
      <c r="AF10" s="22">
        <f>IF($C10="哈尔滨OT所","",VLOOKUP($B10,基础表!$C:$AZ,COLUMN(基础表!AR$1)-2,0))</f>
        <v>0.93333333333333302</v>
      </c>
      <c r="AG10" s="21">
        <f>IF($C10="哈尔滨OT所","",VLOOKUP($B10,基础表!$C:$AZ,COLUMN(基础表!AS$1)-2,0))</f>
        <v>1</v>
      </c>
      <c r="AH10" s="131">
        <f>部所排名!AE10</f>
        <v>2.4239999999999999</v>
      </c>
      <c r="AI10" s="132">
        <f>部所排名!AF10</f>
        <v>2.35</v>
      </c>
      <c r="AJ10" s="132">
        <f>部所排名!AG10</f>
        <v>-7.3999999999999844E-2</v>
      </c>
      <c r="AK10" s="132">
        <f>VLOOKUP(C10,Sheet1!E:F,2,0)/1000</f>
        <v>2.5570680000000001</v>
      </c>
      <c r="AL10" s="135">
        <f t="shared" si="1"/>
        <v>0.9190213166016703</v>
      </c>
      <c r="AM10" s="192">
        <f>VLOOKUP(C10,Sheet3!A:D,4,0)</f>
        <v>1.284</v>
      </c>
      <c r="AN10" s="136">
        <f t="shared" si="2"/>
        <v>1.8302180685358256</v>
      </c>
      <c r="AO10" s="8"/>
      <c r="AP10" s="86" t="b">
        <f t="shared" si="3"/>
        <v>1</v>
      </c>
      <c r="AQ10" s="86" t="b">
        <f t="shared" si="0"/>
        <v>1</v>
      </c>
    </row>
    <row r="11" spans="2:43" x14ac:dyDescent="0.2">
      <c r="B11" s="130">
        <v>3</v>
      </c>
      <c r="C11" s="125" t="str">
        <f>部所排名!C11</f>
        <v>伊春外埠所</v>
      </c>
      <c r="D11" s="131">
        <f>部所排名!D11</f>
        <v>0.86899999999999999</v>
      </c>
      <c r="E11" s="132">
        <f>部所排名!E11</f>
        <v>1.8839999999999999</v>
      </c>
      <c r="F11" s="133">
        <f>部所排名!F11</f>
        <v>1.262</v>
      </c>
      <c r="G11" s="134">
        <f>部所排名!G11</f>
        <v>-0.14215202369200386</v>
      </c>
      <c r="H11" s="135">
        <f>部所排名!H11</f>
        <v>1.6729627630868826E-2</v>
      </c>
      <c r="I11" s="136">
        <f>部所排名!I11</f>
        <v>0.12078152753108351</v>
      </c>
      <c r="J11" s="131">
        <f>部所排名!J11</f>
        <v>1.55</v>
      </c>
      <c r="K11" s="132">
        <f>部所排名!K11</f>
        <v>2.0550000000000002</v>
      </c>
      <c r="L11" s="137">
        <f>部所排名!L11</f>
        <v>-0.24574209245742096</v>
      </c>
      <c r="M11" s="132">
        <f>部所排名!M11</f>
        <v>1.512</v>
      </c>
      <c r="N11" s="136">
        <f>部所排名!N11</f>
        <v>1.02513227513228</v>
      </c>
      <c r="O11" s="173">
        <f>部所排名!S11</f>
        <v>0.13548387096774192</v>
      </c>
      <c r="P11" s="135">
        <f>部所排名!Q11</f>
        <v>0.15161290322580645</v>
      </c>
      <c r="Q11" s="135">
        <f>部所排名!O11</f>
        <v>0.14838709677419354</v>
      </c>
      <c r="R11" s="135">
        <f>部所排名!T11</f>
        <v>0.13548387096774192</v>
      </c>
      <c r="S11" s="135">
        <f>部所排名!R11</f>
        <v>0.14516129032258066</v>
      </c>
      <c r="T11" s="135">
        <f>部所排名!U11</f>
        <v>0.13225806451612901</v>
      </c>
      <c r="U11" s="164">
        <f>部所排名!P11</f>
        <v>0.15161290322580645</v>
      </c>
      <c r="V11" s="164">
        <f>部所排名!V11</f>
        <v>0</v>
      </c>
      <c r="W11" s="131">
        <f>部所排名!W11</f>
        <v>0.23</v>
      </c>
      <c r="X11" s="132">
        <f>部所排名!X11</f>
        <v>0.23499999999999999</v>
      </c>
      <c r="Y11" s="132">
        <f>部所排名!Y11</f>
        <v>0.23499999999999999</v>
      </c>
      <c r="Z11" s="132">
        <f>部所排名!Z11</f>
        <v>0.22500000000000001</v>
      </c>
      <c r="AA11" s="132">
        <f>部所排名!AA11</f>
        <v>0.21</v>
      </c>
      <c r="AB11" s="132">
        <f>部所排名!AB11</f>
        <v>0.21</v>
      </c>
      <c r="AC11" s="132">
        <f>部所排名!AC11</f>
        <v>0.20499999999999999</v>
      </c>
      <c r="AD11" s="133">
        <f>部所排名!AD11</f>
        <v>0</v>
      </c>
      <c r="AE11" s="150">
        <f>IF($C11="哈尔滨OT所","",VLOOKUP($B11,基础表!$C:$AZ,COLUMN(基础表!AQ$1)-2,0))</f>
        <v>0.77693089430894302</v>
      </c>
      <c r="AF11" s="22">
        <f>IF($C11="哈尔滨OT所","",VLOOKUP($B11,基础表!$C:$AZ,COLUMN(基础表!AR$1)-2,0))</f>
        <v>0.93023255813953498</v>
      </c>
      <c r="AG11" s="21">
        <f>IF($C11="哈尔滨OT所","",VLOOKUP($B11,基础表!$C:$AZ,COLUMN(基础表!AS$1)-2,0))</f>
        <v>1</v>
      </c>
      <c r="AH11" s="131">
        <f>部所排名!AE11</f>
        <v>1.677</v>
      </c>
      <c r="AI11" s="132">
        <f>部所排名!AF11</f>
        <v>1.6479999999999999</v>
      </c>
      <c r="AJ11" s="183">
        <f>部所排名!AG11</f>
        <v>-2.9000000000000137E-2</v>
      </c>
      <c r="AK11" s="132">
        <f>VLOOKUP(C11,Sheet1!E:F,2,0)/1000</f>
        <v>1.506778</v>
      </c>
      <c r="AL11" s="135">
        <f t="shared" si="1"/>
        <v>1.0937244902699668</v>
      </c>
      <c r="AM11" s="192">
        <f>VLOOKUP(C11,Sheet3!A:D,4,0)</f>
        <v>0.99399999999999999</v>
      </c>
      <c r="AN11" s="136">
        <f t="shared" si="2"/>
        <v>1.6579476861167002</v>
      </c>
      <c r="AO11" s="8"/>
      <c r="AP11" s="86" t="b">
        <f t="shared" si="3"/>
        <v>1</v>
      </c>
      <c r="AQ11" s="86" t="b">
        <f t="shared" si="0"/>
        <v>1</v>
      </c>
    </row>
    <row r="12" spans="2:43" x14ac:dyDescent="0.2">
      <c r="B12" s="130">
        <v>4</v>
      </c>
      <c r="C12" s="125" t="str">
        <f>部所排名!C12</f>
        <v>黑龙电商所(DY)</v>
      </c>
      <c r="D12" s="131">
        <f>部所排名!D12</f>
        <v>0.10299999999999999</v>
      </c>
      <c r="E12" s="132">
        <f>部所排名!E12</f>
        <v>0.11</v>
      </c>
      <c r="F12" s="133">
        <f>部所排名!F12</f>
        <v>0.15</v>
      </c>
      <c r="G12" s="134">
        <f>部所排名!G12</f>
        <v>2.9999999999999805E-2</v>
      </c>
      <c r="H12" s="135">
        <f>部所排名!H12</f>
        <v>9.9999999999999867E-2</v>
      </c>
      <c r="I12" s="136">
        <f>部所排名!I12</f>
        <v>0.49999999999999978</v>
      </c>
      <c r="J12" s="131">
        <f>部所排名!J12</f>
        <v>0.1</v>
      </c>
      <c r="K12" s="132">
        <f>部所排名!K12</f>
        <v>0.17</v>
      </c>
      <c r="L12" s="135">
        <f>部所排名!L12</f>
        <v>-0.41176470588235292</v>
      </c>
      <c r="M12" s="132">
        <f>部所排名!M12</f>
        <v>0.1</v>
      </c>
      <c r="N12" s="136">
        <f>部所排名!N12</f>
        <v>1</v>
      </c>
      <c r="O12" s="173"/>
      <c r="P12" s="135">
        <f>部所排名!Q12</f>
        <v>1</v>
      </c>
      <c r="Q12" s="135"/>
      <c r="R12" s="135"/>
      <c r="S12" s="135"/>
      <c r="T12" s="135"/>
      <c r="U12" s="164"/>
      <c r="V12" s="164">
        <f>部所排名!V12</f>
        <v>0</v>
      </c>
      <c r="W12" s="131">
        <f>部所排名!W12</f>
        <v>0</v>
      </c>
      <c r="X12" s="132">
        <f>部所排名!X12</f>
        <v>0</v>
      </c>
      <c r="Y12" s="132">
        <f>部所排名!Y12</f>
        <v>0.1</v>
      </c>
      <c r="Z12" s="132">
        <f>部所排名!Z12</f>
        <v>0</v>
      </c>
      <c r="AA12" s="132">
        <f>部所排名!AA12</f>
        <v>0</v>
      </c>
      <c r="AB12" s="132">
        <f>部所排名!AB12</f>
        <v>0</v>
      </c>
      <c r="AC12" s="132">
        <f>部所排名!AC12</f>
        <v>0</v>
      </c>
      <c r="AD12" s="133">
        <f>部所排名!AD12</f>
        <v>0</v>
      </c>
      <c r="AE12" s="150"/>
      <c r="AF12" s="22"/>
      <c r="AG12" s="21"/>
      <c r="AH12" s="131"/>
      <c r="AI12" s="132"/>
      <c r="AJ12" s="132"/>
      <c r="AK12" s="132"/>
      <c r="AL12" s="135"/>
      <c r="AM12" s="192">
        <f>VLOOKUP(C12,Sheet3!A:D,4,0)</f>
        <v>0.16</v>
      </c>
      <c r="AN12" s="136"/>
      <c r="AO12" s="8"/>
      <c r="AP12" s="86" t="b">
        <f t="shared" si="3"/>
        <v>1</v>
      </c>
      <c r="AQ12" s="86" t="b">
        <f t="shared" si="0"/>
        <v>1</v>
      </c>
    </row>
    <row r="13" spans="2:43" x14ac:dyDescent="0.2">
      <c r="B13" s="130">
        <v>5</v>
      </c>
      <c r="C13" s="125" t="str">
        <f>部所排名!C13</f>
        <v>双鸭山城区所</v>
      </c>
      <c r="D13" s="131">
        <f>部所排名!D13</f>
        <v>0.39100000000000001</v>
      </c>
      <c r="E13" s="132">
        <f>部所排名!E13</f>
        <v>0.52500000000000002</v>
      </c>
      <c r="F13" s="133">
        <f>部所排名!F13</f>
        <v>0.379</v>
      </c>
      <c r="G13" s="134">
        <f>部所排名!G13</f>
        <v>-0.34285714285714275</v>
      </c>
      <c r="H13" s="135">
        <f>部所排名!H13</f>
        <v>-0.3027888446215139</v>
      </c>
      <c r="I13" s="136">
        <f>部所排名!I13</f>
        <v>-4.7738693467336724E-2</v>
      </c>
      <c r="J13" s="131">
        <f>部所排名!J13</f>
        <v>0.44400000000000001</v>
      </c>
      <c r="K13" s="132">
        <f>部所排名!K13</f>
        <v>0.51100000000000001</v>
      </c>
      <c r="L13" s="135">
        <f>部所排名!L13</f>
        <v>-0.13111545988258322</v>
      </c>
      <c r="M13" s="132">
        <f>部所排名!M13</f>
        <v>0.51600000000000001</v>
      </c>
      <c r="N13" s="136">
        <f>部所排名!N13</f>
        <v>0.86046511627906996</v>
      </c>
      <c r="O13" s="173">
        <f>部所排名!S13</f>
        <v>0.13513513513513511</v>
      </c>
      <c r="P13" s="135">
        <f>部所排名!Q13</f>
        <v>7.8828828828828829E-2</v>
      </c>
      <c r="Q13" s="135">
        <f>部所排名!O13</f>
        <v>0.25</v>
      </c>
      <c r="R13" s="135">
        <f>部所排名!T13</f>
        <v>0.15090090090090091</v>
      </c>
      <c r="S13" s="135">
        <f>部所排名!R13</f>
        <v>0.16891891891891891</v>
      </c>
      <c r="T13" s="135">
        <f>部所排名!U13</f>
        <v>6.9819819819819814E-2</v>
      </c>
      <c r="U13" s="164">
        <f>部所排名!P13</f>
        <v>0.1463963963963964</v>
      </c>
      <c r="V13" s="164">
        <f>部所排名!V13</f>
        <v>0</v>
      </c>
      <c r="W13" s="131">
        <f>部所排名!W13</f>
        <v>0.111</v>
      </c>
      <c r="X13" s="132">
        <f>部所排名!X13</f>
        <v>6.5000000000000002E-2</v>
      </c>
      <c r="Y13" s="132">
        <f>部所排名!Y13</f>
        <v>3.5000000000000003E-2</v>
      </c>
      <c r="Z13" s="132">
        <f>部所排名!Z13</f>
        <v>7.4999999999999997E-2</v>
      </c>
      <c r="AA13" s="132">
        <f>部所排名!AA13</f>
        <v>0.06</v>
      </c>
      <c r="AB13" s="132">
        <f>部所排名!AB13</f>
        <v>6.7000000000000004E-2</v>
      </c>
      <c r="AC13" s="132">
        <f>部所排名!AC13</f>
        <v>3.1E-2</v>
      </c>
      <c r="AD13" s="133">
        <f>部所排名!AD13</f>
        <v>0</v>
      </c>
      <c r="AE13" s="150">
        <f>IF($C13="哈尔滨OT所","",VLOOKUP($B13,基础表!$C:$AZ,COLUMN(基础表!AQ$1)-2,0))</f>
        <v>0.53377265238879701</v>
      </c>
      <c r="AF13" s="22">
        <f>IF($C13="哈尔滨OT所","",VLOOKUP($B13,基础表!$C:$AZ,COLUMN(基础表!AR$1)-2,0))</f>
        <v>0.90625</v>
      </c>
      <c r="AG13" s="21">
        <f>IF($C13="哈尔滨OT所","",VLOOKUP($B13,基础表!$C:$AZ,COLUMN(基础表!AS$1)-2,0))</f>
        <v>1</v>
      </c>
      <c r="AH13" s="131">
        <f>部所排名!AE13</f>
        <v>0.46800000000000003</v>
      </c>
      <c r="AI13" s="132">
        <f>部所排名!AF13</f>
        <v>0.41799999999999998</v>
      </c>
      <c r="AJ13" s="132">
        <f>部所排名!AG13</f>
        <v>-5.0000000000000044E-2</v>
      </c>
      <c r="AK13" s="132">
        <f>VLOOKUP(C13,Sheet1!E:F,2,0)/1000</f>
        <v>0.37126399999999998</v>
      </c>
      <c r="AL13" s="135">
        <f t="shared" si="1"/>
        <v>1.125883468367523</v>
      </c>
      <c r="AM13" s="192">
        <f>VLOOKUP(C13,Sheet3!A:D,4,0)</f>
        <v>0.42199999999999999</v>
      </c>
      <c r="AN13" s="136">
        <f t="shared" si="2"/>
        <v>0.99052132701421802</v>
      </c>
      <c r="AO13" s="8"/>
      <c r="AP13" s="86" t="b">
        <f t="shared" si="3"/>
        <v>1</v>
      </c>
      <c r="AQ13" s="86" t="b">
        <f t="shared" si="0"/>
        <v>1</v>
      </c>
    </row>
    <row r="14" spans="2:43" x14ac:dyDescent="0.2">
      <c r="B14" s="130">
        <v>6</v>
      </c>
      <c r="C14" s="125" t="str">
        <f>部所排名!C14</f>
        <v>七台河外埠所</v>
      </c>
      <c r="D14" s="131">
        <f>部所排名!D14</f>
        <v>1.9</v>
      </c>
      <c r="E14" s="132">
        <f>部所排名!E14</f>
        <v>2.6869999999999998</v>
      </c>
      <c r="F14" s="133">
        <f>部所排名!F14</f>
        <v>1.742</v>
      </c>
      <c r="G14" s="134">
        <f>部所排名!G14</f>
        <v>-3.8947900859888862E-2</v>
      </c>
      <c r="H14" s="135">
        <f>部所排名!H14</f>
        <v>2.7140672782874464E-2</v>
      </c>
      <c r="I14" s="136">
        <f>部所排名!I14</f>
        <v>6.9364161849712058E-3</v>
      </c>
      <c r="J14" s="131">
        <f>部所排名!J14</f>
        <v>2.226</v>
      </c>
      <c r="K14" s="132">
        <f>部所排名!K14</f>
        <v>2.7389999999999999</v>
      </c>
      <c r="L14" s="135">
        <f>部所排名!L14</f>
        <v>-0.18729463307776562</v>
      </c>
      <c r="M14" s="132">
        <f>部所排名!M14</f>
        <v>2.5880000000000001</v>
      </c>
      <c r="N14" s="136">
        <f>部所排名!N14</f>
        <v>0.86012364760432802</v>
      </c>
      <c r="O14" s="173">
        <f>部所排名!S14</f>
        <v>0.14061096136567836</v>
      </c>
      <c r="P14" s="135">
        <f>部所排名!Q14</f>
        <v>0.1725067385444744</v>
      </c>
      <c r="Q14" s="135">
        <f>部所排名!O14</f>
        <v>0.19811320754716982</v>
      </c>
      <c r="R14" s="135">
        <f>部所排名!T14</f>
        <v>0.11635220125786164</v>
      </c>
      <c r="S14" s="135">
        <f>部所排名!R14</f>
        <v>0.11904761904761905</v>
      </c>
      <c r="T14" s="135">
        <f>部所排名!U14</f>
        <v>0.11051212938005391</v>
      </c>
      <c r="U14" s="164">
        <f>部所排名!P14</f>
        <v>0.14285714285714285</v>
      </c>
      <c r="V14" s="164">
        <f>部所排名!V14</f>
        <v>0</v>
      </c>
      <c r="W14" s="131">
        <f>部所排名!W14</f>
        <v>0.441</v>
      </c>
      <c r="X14" s="132">
        <f>部所排名!X14</f>
        <v>0.318</v>
      </c>
      <c r="Y14" s="132">
        <f>部所排名!Y14</f>
        <v>0.38400000000000001</v>
      </c>
      <c r="Z14" s="132">
        <f>部所排名!Z14</f>
        <v>0.26500000000000001</v>
      </c>
      <c r="AA14" s="132">
        <f>部所排名!AA14</f>
        <v>0.313</v>
      </c>
      <c r="AB14" s="132">
        <f>部所排名!AB14</f>
        <v>0.25900000000000001</v>
      </c>
      <c r="AC14" s="132">
        <f>部所排名!AC14</f>
        <v>0.246</v>
      </c>
      <c r="AD14" s="133">
        <f>部所排名!AD14</f>
        <v>0</v>
      </c>
      <c r="AE14" s="150">
        <f>IF($C14="哈尔滨OT所","",VLOOKUP($B14,基础表!$C:$AZ,COLUMN(基础表!AQ$1)-2,0))</f>
        <v>0.46156893819334399</v>
      </c>
      <c r="AF14" s="22">
        <f>IF($C14="哈尔滨OT所","",VLOOKUP($B14,基础表!$C:$AZ,COLUMN(基础表!AR$1)-2,0))</f>
        <v>0.71875</v>
      </c>
      <c r="AG14" s="21">
        <f>IF($C14="哈尔滨OT所","",VLOOKUP($B14,基础表!$C:$AZ,COLUMN(基础表!AS$1)-2,0))</f>
        <v>1</v>
      </c>
      <c r="AH14" s="131">
        <f>部所排名!AE14</f>
        <v>2.8140000000000001</v>
      </c>
      <c r="AI14" s="132">
        <f>部所排名!AF14</f>
        <v>2.4009999999999998</v>
      </c>
      <c r="AJ14" s="132">
        <f>部所排名!AG14</f>
        <v>-0.41300000000000026</v>
      </c>
      <c r="AK14" s="132">
        <f>VLOOKUP(C14,Sheet1!E:F,2,0)/1000</f>
        <v>2.3107139999999999</v>
      </c>
      <c r="AL14" s="135">
        <f t="shared" si="1"/>
        <v>1.0390727714464014</v>
      </c>
      <c r="AM14" s="192">
        <f>VLOOKUP(C14,Sheet3!A:D,4,0)</f>
        <v>2.0619999999999998</v>
      </c>
      <c r="AN14" s="136">
        <f t="shared" si="2"/>
        <v>1.164403491755577</v>
      </c>
      <c r="AO14" s="8"/>
      <c r="AP14" s="86" t="b">
        <f t="shared" si="3"/>
        <v>1</v>
      </c>
      <c r="AQ14" s="86" t="b">
        <f t="shared" si="0"/>
        <v>1</v>
      </c>
    </row>
    <row r="15" spans="2:43" x14ac:dyDescent="0.2">
      <c r="B15" s="130">
        <v>7</v>
      </c>
      <c r="C15" s="125" t="str">
        <f>部所排名!C15</f>
        <v>牡丹江城区所</v>
      </c>
      <c r="D15" s="131">
        <f>部所排名!D15</f>
        <v>1.6</v>
      </c>
      <c r="E15" s="132">
        <f>部所排名!E15</f>
        <v>2.0699999999999998</v>
      </c>
      <c r="F15" s="133">
        <f>部所排名!F15</f>
        <v>1.736</v>
      </c>
      <c r="G15" s="134">
        <f>部所排名!G15</f>
        <v>-5.0445103857566731E-2</v>
      </c>
      <c r="H15" s="135">
        <f>部所排名!H15</f>
        <v>-1.8957345971563955E-2</v>
      </c>
      <c r="I15" s="136">
        <f>部所排名!I15</f>
        <v>-4.8245614035087758E-2</v>
      </c>
      <c r="J15" s="131">
        <f>部所排名!J15</f>
        <v>1.776</v>
      </c>
      <c r="K15" s="132">
        <f>部所排名!K15</f>
        <v>2.2919999999999998</v>
      </c>
      <c r="L15" s="135">
        <f>部所排名!L15</f>
        <v>-0.22513089005235598</v>
      </c>
      <c r="M15" s="132">
        <f>部所排名!M15</f>
        <v>2.0659999999999998</v>
      </c>
      <c r="N15" s="136">
        <f>部所排名!N15</f>
        <v>0.85963213939980609</v>
      </c>
      <c r="O15" s="173">
        <f>部所排名!S15</f>
        <v>0.13626126126126126</v>
      </c>
      <c r="P15" s="135">
        <f>部所排名!Q15</f>
        <v>0.16722972972972971</v>
      </c>
      <c r="Q15" s="135">
        <f>部所排名!O15</f>
        <v>0.12105855855855856</v>
      </c>
      <c r="R15" s="135">
        <f>部所排名!T15</f>
        <v>0.15371621621621623</v>
      </c>
      <c r="S15" s="135">
        <f>部所排名!R15</f>
        <v>0.14301801801801803</v>
      </c>
      <c r="T15" s="135">
        <f>部所排名!U15</f>
        <v>0.14977477477477477</v>
      </c>
      <c r="U15" s="164">
        <f>部所排名!P15</f>
        <v>0.12894144144144146</v>
      </c>
      <c r="V15" s="164">
        <f>部所排名!V15</f>
        <v>0</v>
      </c>
      <c r="W15" s="131">
        <f>部所排名!W15</f>
        <v>0.215</v>
      </c>
      <c r="X15" s="132">
        <f>部所排名!X15</f>
        <v>0.22900000000000001</v>
      </c>
      <c r="Y15" s="132">
        <f>部所排名!Y15</f>
        <v>0.29699999999999999</v>
      </c>
      <c r="Z15" s="132">
        <f>部所排名!Z15</f>
        <v>0.254</v>
      </c>
      <c r="AA15" s="132">
        <f>部所排名!AA15</f>
        <v>0.24199999999999999</v>
      </c>
      <c r="AB15" s="132">
        <f>部所排名!AB15</f>
        <v>0.27300000000000002</v>
      </c>
      <c r="AC15" s="132">
        <f>部所排名!AC15</f>
        <v>0.26600000000000001</v>
      </c>
      <c r="AD15" s="133">
        <f>部所排名!AD15</f>
        <v>0</v>
      </c>
      <c r="AE15" s="150">
        <f>IF($C15="哈尔滨OT所","",VLOOKUP($B15,基础表!$C:$AZ,COLUMN(基础表!AQ$1)-2,0))</f>
        <v>0.77192141830378502</v>
      </c>
      <c r="AF15" s="22">
        <f>IF($C15="哈尔滨OT所","",VLOOKUP($B15,基础表!$C:$AZ,COLUMN(基础表!AR$1)-2,0))</f>
        <v>0.90163934426229497</v>
      </c>
      <c r="AG15" s="21">
        <f>IF($C15="哈尔滨OT所","",VLOOKUP($B15,基础表!$C:$AZ,COLUMN(基础表!AS$1)-2,0))</f>
        <v>1</v>
      </c>
      <c r="AH15" s="131">
        <f>部所排名!AE15</f>
        <v>1.488</v>
      </c>
      <c r="AI15" s="132">
        <f>部所排名!AF15</f>
        <v>1.4384999999999999</v>
      </c>
      <c r="AJ15" s="183">
        <f>部所排名!AG15</f>
        <v>-4.9500000000000099E-2</v>
      </c>
      <c r="AK15" s="132">
        <f>VLOOKUP(C15,Sheet1!E:F,2,0)/1000</f>
        <v>1.8028810000000002</v>
      </c>
      <c r="AL15" s="135">
        <f t="shared" si="1"/>
        <v>0.79788960003461118</v>
      </c>
      <c r="AM15" s="192">
        <f>VLOOKUP(C15,Sheet3!A:D,4,0)</f>
        <v>1.6739999999999999</v>
      </c>
      <c r="AN15" s="136">
        <f t="shared" si="2"/>
        <v>0.85931899641577059</v>
      </c>
      <c r="AO15" s="8"/>
      <c r="AP15" s="86" t="b">
        <f t="shared" si="3"/>
        <v>1</v>
      </c>
      <c r="AQ15" s="86" t="b">
        <f t="shared" si="0"/>
        <v>1</v>
      </c>
    </row>
    <row r="16" spans="2:43" x14ac:dyDescent="0.2">
      <c r="B16" s="130">
        <v>8</v>
      </c>
      <c r="C16" s="125" t="str">
        <f>部所排名!C16</f>
        <v>哈尔滨城区北所</v>
      </c>
      <c r="D16" s="131">
        <f>部所排名!D16</f>
        <v>0.753</v>
      </c>
      <c r="E16" s="132">
        <f>部所排名!E16</f>
        <v>1.597</v>
      </c>
      <c r="F16" s="133">
        <f>部所排名!F16</f>
        <v>1.272</v>
      </c>
      <c r="G16" s="134">
        <f>部所排名!G16</f>
        <v>-0.34235807860262013</v>
      </c>
      <c r="H16" s="135">
        <f>部所排名!H16</f>
        <v>5.0346129641283266E-3</v>
      </c>
      <c r="I16" s="136">
        <f>部所排名!I16</f>
        <v>0.17019319227230922</v>
      </c>
      <c r="J16" s="131">
        <f>部所排名!J16</f>
        <v>1.5369999999999999</v>
      </c>
      <c r="K16" s="132">
        <f>部所排名!K16</f>
        <v>1.597</v>
      </c>
      <c r="L16" s="135">
        <f>部所排名!L16</f>
        <v>-3.7570444583594265E-2</v>
      </c>
      <c r="M16" s="132">
        <f>部所排名!M16</f>
        <v>1.8879999999999999</v>
      </c>
      <c r="N16" s="136">
        <f>部所排名!N16</f>
        <v>0.81408898305084709</v>
      </c>
      <c r="O16" s="173">
        <f>部所排名!S16</f>
        <v>0.13728041639557581</v>
      </c>
      <c r="P16" s="135">
        <f>部所排名!Q16</f>
        <v>0.15289525048796357</v>
      </c>
      <c r="Q16" s="135">
        <f>部所排名!O16</f>
        <v>0.12426805465191933</v>
      </c>
      <c r="R16" s="135">
        <f>部所排名!T16</f>
        <v>0.13662979830839297</v>
      </c>
      <c r="S16" s="135">
        <f>部所排名!R16</f>
        <v>0.13728041639557581</v>
      </c>
      <c r="T16" s="135">
        <f>部所排名!U16</f>
        <v>0.20689655172413796</v>
      </c>
      <c r="U16" s="164">
        <f>部所排名!P16</f>
        <v>0.10474951203643462</v>
      </c>
      <c r="V16" s="164">
        <f>部所排名!V16</f>
        <v>0</v>
      </c>
      <c r="W16" s="131">
        <f>部所排名!W16</f>
        <v>0.191</v>
      </c>
      <c r="X16" s="132">
        <f>部所排名!X16</f>
        <v>0.161</v>
      </c>
      <c r="Y16" s="132">
        <f>部所排名!Y16</f>
        <v>0.23499999999999999</v>
      </c>
      <c r="Z16" s="132">
        <f>部所排名!Z16</f>
        <v>0.21099999999999999</v>
      </c>
      <c r="AA16" s="132">
        <f>部所排名!AA16</f>
        <v>0.21099999999999999</v>
      </c>
      <c r="AB16" s="132">
        <f>部所排名!AB16</f>
        <v>0.21</v>
      </c>
      <c r="AC16" s="132">
        <f>部所排名!AC16</f>
        <v>0.318</v>
      </c>
      <c r="AD16" s="133">
        <f>部所排名!AD16</f>
        <v>0</v>
      </c>
      <c r="AE16" s="150">
        <f>IF($C16="哈尔滨OT所","",VLOOKUP($B16,基础表!$C:$AZ,COLUMN(基础表!AQ$1)-2,0))</f>
        <v>0.89433384379785597</v>
      </c>
      <c r="AF16" s="22">
        <f>IF($C16="哈尔滨OT所","",VLOOKUP($B16,基础表!$C:$AZ,COLUMN(基础表!AR$1)-2,0))</f>
        <v>0.96240601503759393</v>
      </c>
      <c r="AG16" s="21">
        <f>IF($C16="哈尔滨OT所","",VLOOKUP($B16,基础表!$C:$AZ,COLUMN(基础表!AS$1)-2,0))</f>
        <v>0.97744360902255589</v>
      </c>
      <c r="AH16" s="131">
        <f>部所排名!AE16</f>
        <v>0.375</v>
      </c>
      <c r="AI16" s="132">
        <f>部所排名!AF16</f>
        <v>0.52300000000000002</v>
      </c>
      <c r="AJ16" s="132">
        <f>部所排名!AG16</f>
        <v>0.14800000000000002</v>
      </c>
      <c r="AK16" s="132">
        <f>VLOOKUP(C16,Sheet1!E:F,2,0)/1000</f>
        <v>0.87229299999999999</v>
      </c>
      <c r="AL16" s="135">
        <f t="shared" si="1"/>
        <v>0.59956918145623095</v>
      </c>
      <c r="AM16" s="192">
        <f>VLOOKUP(C16,Sheet3!A:D,4,0)</f>
        <v>1.538</v>
      </c>
      <c r="AN16" s="136">
        <f t="shared" si="2"/>
        <v>0.3400520156046814</v>
      </c>
      <c r="AO16" s="8"/>
      <c r="AP16" s="86" t="b">
        <f t="shared" si="3"/>
        <v>1</v>
      </c>
      <c r="AQ16" s="86" t="b">
        <f t="shared" si="0"/>
        <v>1</v>
      </c>
    </row>
    <row r="17" spans="2:43" x14ac:dyDescent="0.2">
      <c r="B17" s="130">
        <v>9</v>
      </c>
      <c r="C17" s="125" t="str">
        <f>部所排名!C17</f>
        <v>兴安外埠所</v>
      </c>
      <c r="D17" s="131">
        <f>部所排名!D17</f>
        <v>1.3540000000000001</v>
      </c>
      <c r="E17" s="132">
        <f>部所排名!E17</f>
        <v>2.59</v>
      </c>
      <c r="F17" s="133">
        <f>部所排名!F17</f>
        <v>1.895</v>
      </c>
      <c r="G17" s="134">
        <f>部所排名!G17</f>
        <v>-0.11154855643044614</v>
      </c>
      <c r="H17" s="135">
        <f>部所排名!H17</f>
        <v>1.1596443757246888E-3</v>
      </c>
      <c r="I17" s="136">
        <f>部所排名!I17</f>
        <v>-0.17608695652173911</v>
      </c>
      <c r="J17" s="131">
        <f>部所排名!J17</f>
        <v>2.5390000000000001</v>
      </c>
      <c r="K17" s="132">
        <f>部所排名!K17</f>
        <v>3.12</v>
      </c>
      <c r="L17" s="135">
        <f>部所排名!L17</f>
        <v>-0.18621794871794872</v>
      </c>
      <c r="M17" s="132">
        <f>部所排名!M17</f>
        <v>3.1509999999999998</v>
      </c>
      <c r="N17" s="136">
        <f>部所排名!N17</f>
        <v>0.80577594414471609</v>
      </c>
      <c r="O17" s="173">
        <f>部所排名!S17</f>
        <v>0.16266246553761321</v>
      </c>
      <c r="P17" s="135">
        <f>部所排名!Q17</f>
        <v>0.1851122489168964</v>
      </c>
      <c r="Q17" s="135">
        <f>部所排名!O17</f>
        <v>0.17920441118550609</v>
      </c>
      <c r="R17" s="135">
        <f>部所排名!T17</f>
        <v>0.14572666404096099</v>
      </c>
      <c r="S17" s="135">
        <f>部所排名!R17</f>
        <v>0.1378495470657739</v>
      </c>
      <c r="T17" s="135">
        <f>部所排名!U17</f>
        <v>4.9625836943678614E-2</v>
      </c>
      <c r="U17" s="164">
        <f>部所排名!P17</f>
        <v>0.13981882630957068</v>
      </c>
      <c r="V17" s="164">
        <f>部所排名!V17</f>
        <v>0</v>
      </c>
      <c r="W17" s="131">
        <f>部所排名!W17</f>
        <v>0.45500000000000002</v>
      </c>
      <c r="X17" s="132">
        <f>部所排名!X17</f>
        <v>0.35499999999999998</v>
      </c>
      <c r="Y17" s="132">
        <f>部所排名!Y17</f>
        <v>0.47</v>
      </c>
      <c r="Z17" s="132">
        <f>部所排名!Z17</f>
        <v>0.35</v>
      </c>
      <c r="AA17" s="132">
        <f>部所排名!AA17</f>
        <v>0.41299999999999998</v>
      </c>
      <c r="AB17" s="132">
        <f>部所排名!AB17</f>
        <v>0.37</v>
      </c>
      <c r="AC17" s="132">
        <f>部所排名!AC17</f>
        <v>0.126</v>
      </c>
      <c r="AD17" s="133">
        <f>部所排名!AD17</f>
        <v>0</v>
      </c>
      <c r="AE17" s="150">
        <f>IF($C17="哈尔滨OT所","",VLOOKUP($B17,基础表!$C:$AZ,COLUMN(基础表!AQ$1)-2,0))</f>
        <v>0.67928286852589592</v>
      </c>
      <c r="AF17" s="22">
        <f>IF($C17="哈尔滨OT所","",VLOOKUP($B17,基础表!$C:$AZ,COLUMN(基础表!AR$1)-2,0))</f>
        <v>1</v>
      </c>
      <c r="AG17" s="21">
        <f>IF($C17="哈尔滨OT所","",VLOOKUP($B17,基础表!$C:$AZ,COLUMN(基础表!AS$1)-2,0))</f>
        <v>1</v>
      </c>
      <c r="AH17" s="131">
        <f>部所排名!AE17</f>
        <v>3.6070000000000002</v>
      </c>
      <c r="AI17" s="132">
        <f>部所排名!AF17</f>
        <v>3.4049999999999998</v>
      </c>
      <c r="AJ17" s="132">
        <f>部所排名!AG17</f>
        <v>-0.2020000000000004</v>
      </c>
      <c r="AK17" s="132">
        <f>VLOOKUP(C17,Sheet1!E:F,2,0)/1000</f>
        <v>2.5783330000000002</v>
      </c>
      <c r="AL17" s="135">
        <f t="shared" si="1"/>
        <v>1.3206207266477989</v>
      </c>
      <c r="AM17" s="192">
        <f>VLOOKUP(C17,Sheet3!A:D,4,0)</f>
        <v>2.5009999999999999</v>
      </c>
      <c r="AN17" s="136">
        <f t="shared" si="2"/>
        <v>1.3614554178328668</v>
      </c>
      <c r="AO17" s="8"/>
      <c r="AP17" s="86" t="b">
        <f t="shared" si="3"/>
        <v>1</v>
      </c>
      <c r="AQ17" s="86" t="b">
        <f t="shared" si="0"/>
        <v>1</v>
      </c>
    </row>
    <row r="18" spans="2:43" x14ac:dyDescent="0.2">
      <c r="B18" s="14">
        <v>10</v>
      </c>
      <c r="C18" s="15" t="str">
        <f>部所排名!C18</f>
        <v>齐齐哈尔城区所</v>
      </c>
      <c r="D18" s="16">
        <f>部所排名!D18</f>
        <v>0.51200000000000001</v>
      </c>
      <c r="E18" s="17">
        <f>部所排名!E18</f>
        <v>1.0089999999999999</v>
      </c>
      <c r="F18" s="18">
        <f>部所排名!F18</f>
        <v>0.70599999999999996</v>
      </c>
      <c r="G18" s="19">
        <f>部所排名!G18</f>
        <v>-0.11111111111111105</v>
      </c>
      <c r="H18" s="20">
        <f>部所排名!H18</f>
        <v>2.9591836734693899E-2</v>
      </c>
      <c r="I18" s="21">
        <f>部所排名!I18</f>
        <v>0.88770053475935828</v>
      </c>
      <c r="J18" s="16">
        <f>部所排名!J18</f>
        <v>0.89400000000000002</v>
      </c>
      <c r="K18" s="17">
        <f>部所排名!K18</f>
        <v>1.391</v>
      </c>
      <c r="L18" s="20">
        <f>部所排名!L18</f>
        <v>-0.35729690869877784</v>
      </c>
      <c r="M18" s="17">
        <f>部所排名!M18</f>
        <v>1.161</v>
      </c>
      <c r="N18" s="21">
        <f>部所排名!N18</f>
        <v>0.77002583979328199</v>
      </c>
      <c r="O18" s="174">
        <f>部所排名!S18</f>
        <v>0.13422818791946309</v>
      </c>
      <c r="P18" s="20">
        <f>部所排名!Q18</f>
        <v>0.18232662192393737</v>
      </c>
      <c r="Q18" s="20">
        <f>部所排名!O18</f>
        <v>0.17897091722595079</v>
      </c>
      <c r="R18" s="20">
        <f>部所排名!T18</f>
        <v>0.16554809843400448</v>
      </c>
      <c r="S18" s="20">
        <f>部所排名!R18</f>
        <v>0.1476510067114094</v>
      </c>
      <c r="T18" s="20">
        <f>部所排名!U18</f>
        <v>8.9485458612975396E-2</v>
      </c>
      <c r="U18" s="165">
        <f>部所排名!P18</f>
        <v>0.1017897091722595</v>
      </c>
      <c r="V18" s="165">
        <f>部所排名!V18</f>
        <v>0</v>
      </c>
      <c r="W18" s="16">
        <f>部所排名!W18</f>
        <v>0.16</v>
      </c>
      <c r="X18" s="17">
        <f>部所排名!X18</f>
        <v>9.0999999999999998E-2</v>
      </c>
      <c r="Y18" s="17">
        <f>部所排名!Y18</f>
        <v>0.16300000000000001</v>
      </c>
      <c r="Z18" s="17">
        <f>部所排名!Z18</f>
        <v>0.13200000000000001</v>
      </c>
      <c r="AA18" s="17">
        <f>部所排名!AA18</f>
        <v>0.12</v>
      </c>
      <c r="AB18" s="17">
        <f>部所排名!AB18</f>
        <v>0.14799999999999999</v>
      </c>
      <c r="AC18" s="17">
        <f>部所排名!AC18</f>
        <v>0.08</v>
      </c>
      <c r="AD18" s="18">
        <f>部所排名!AD18</f>
        <v>0</v>
      </c>
      <c r="AE18" s="150">
        <f>IF($C18="哈尔滨OT所","",VLOOKUP($B18,基础表!$C:$AZ,COLUMN(基础表!AQ$1)-2,0))</f>
        <v>0.59488692232055096</v>
      </c>
      <c r="AF18" s="22">
        <f>IF($C18="哈尔滨OT所","",VLOOKUP($B18,基础表!$C:$AZ,COLUMN(基础表!AR$1)-2,0))</f>
        <v>0.93421052631578905</v>
      </c>
      <c r="AG18" s="21">
        <f>IF($C18="哈尔滨OT所","",VLOOKUP($B18,基础表!$C:$AZ,COLUMN(基础表!AS$1)-2,0))</f>
        <v>1</v>
      </c>
      <c r="AH18" s="16">
        <f>部所排名!AE18</f>
        <v>0.63200000000000001</v>
      </c>
      <c r="AI18" s="17">
        <f>部所排名!AF18</f>
        <v>0.91</v>
      </c>
      <c r="AJ18" s="17">
        <f>部所排名!AG18</f>
        <v>0.27800000000000002</v>
      </c>
      <c r="AK18" s="17">
        <f>VLOOKUP(C18,Sheet1!E:F,2,0)/1000</f>
        <v>0.72560000000000002</v>
      </c>
      <c r="AL18" s="20">
        <f t="shared" si="1"/>
        <v>1.2541345093715546</v>
      </c>
      <c r="AM18" s="193">
        <f>VLOOKUP(C18,Sheet3!A:D,4,0)</f>
        <v>0.96399999999999997</v>
      </c>
      <c r="AN18" s="21">
        <f t="shared" si="2"/>
        <v>0.94398340248962664</v>
      </c>
      <c r="AO18" s="8"/>
      <c r="AP18" s="86" t="b">
        <f t="shared" si="3"/>
        <v>1</v>
      </c>
      <c r="AQ18" s="86" t="b">
        <f t="shared" si="0"/>
        <v>1</v>
      </c>
    </row>
    <row r="19" spans="2:43" x14ac:dyDescent="0.2">
      <c r="B19" s="14">
        <v>11</v>
      </c>
      <c r="C19" s="15" t="str">
        <f>部所排名!C19</f>
        <v>呼盟外埠所</v>
      </c>
      <c r="D19" s="16">
        <f>部所排名!D19</f>
        <v>1.29</v>
      </c>
      <c r="E19" s="17">
        <f>部所排名!E19</f>
        <v>2.2709999999999999</v>
      </c>
      <c r="F19" s="18">
        <f>部所排名!F19</f>
        <v>1.77</v>
      </c>
      <c r="G19" s="19">
        <f>部所排名!G19</f>
        <v>-5.563689604685218E-2</v>
      </c>
      <c r="H19" s="20">
        <f>部所排名!H19</f>
        <v>5.6770590972545332E-2</v>
      </c>
      <c r="I19" s="21">
        <f>部所排名!I19</f>
        <v>-0.14285714285714279</v>
      </c>
      <c r="J19" s="16">
        <f>部所排名!J19</f>
        <v>2.2250000000000001</v>
      </c>
      <c r="K19" s="17">
        <f>部所排名!K19</f>
        <v>2.9020000000000001</v>
      </c>
      <c r="L19" s="20">
        <f>部所排名!L19</f>
        <v>-0.2332873880082702</v>
      </c>
      <c r="M19" s="17">
        <f>部所排名!M19</f>
        <v>2.9239999999999999</v>
      </c>
      <c r="N19" s="21">
        <f>部所排名!N19</f>
        <v>0.76094391244869997</v>
      </c>
      <c r="O19" s="174">
        <f>部所排名!S19</f>
        <v>0.14382022471910111</v>
      </c>
      <c r="P19" s="20">
        <f>部所排名!Q19</f>
        <v>0.17168539325842697</v>
      </c>
      <c r="Q19" s="20">
        <f>部所排名!O19</f>
        <v>0.16449438202247191</v>
      </c>
      <c r="R19" s="20">
        <f>部所排名!T19</f>
        <v>0.14831460674157304</v>
      </c>
      <c r="S19" s="20">
        <f>部所排名!R19</f>
        <v>0.11146067415730336</v>
      </c>
      <c r="T19" s="20">
        <f>部所排名!U19</f>
        <v>0.12134831460674157</v>
      </c>
      <c r="U19" s="165">
        <f>部所排名!P19</f>
        <v>0.13887640449438202</v>
      </c>
      <c r="V19" s="165">
        <f>部所排名!V19</f>
        <v>0</v>
      </c>
      <c r="W19" s="16">
        <f>部所排名!W19</f>
        <v>0.36599999999999999</v>
      </c>
      <c r="X19" s="17">
        <f>部所排名!X19</f>
        <v>0.309</v>
      </c>
      <c r="Y19" s="17">
        <f>部所排名!Y19</f>
        <v>0.38200000000000001</v>
      </c>
      <c r="Z19" s="17">
        <f>部所排名!Z19</f>
        <v>0.248</v>
      </c>
      <c r="AA19" s="17">
        <f>部所排名!AA19</f>
        <v>0.32</v>
      </c>
      <c r="AB19" s="17">
        <f>部所排名!AB19</f>
        <v>0.33</v>
      </c>
      <c r="AC19" s="17">
        <f>部所排名!AC19</f>
        <v>0.27</v>
      </c>
      <c r="AD19" s="18">
        <f>部所排名!AD19</f>
        <v>0</v>
      </c>
      <c r="AE19" s="150">
        <f>IF($C19="哈尔滨OT所","",VLOOKUP($B19,基础表!$C:$AZ,COLUMN(基础表!AQ$1)-2,0))</f>
        <v>0.58434690639873099</v>
      </c>
      <c r="AF19" s="22">
        <f>IF($C19="哈尔滨OT所","",VLOOKUP($B19,基础表!$C:$AZ,COLUMN(基础表!AR$1)-2,0))</f>
        <v>0.68421052631578905</v>
      </c>
      <c r="AG19" s="21">
        <f>IF($C19="哈尔滨OT所","",VLOOKUP($B19,基础表!$C:$AZ,COLUMN(基础表!AS$1)-2,0))</f>
        <v>1</v>
      </c>
      <c r="AH19" s="16">
        <f>部所排名!AE19</f>
        <v>2.3290000000000002</v>
      </c>
      <c r="AI19" s="17">
        <f>部所排名!AF19</f>
        <v>2.819</v>
      </c>
      <c r="AJ19" s="17">
        <f>部所排名!AG19</f>
        <v>0.48999999999999977</v>
      </c>
      <c r="AK19" s="17">
        <f>VLOOKUP(C19,Sheet1!E:F,2,0)/1000</f>
        <v>1.7344090000000001</v>
      </c>
      <c r="AL19" s="20">
        <f t="shared" si="1"/>
        <v>1.6253375068971621</v>
      </c>
      <c r="AM19" s="193">
        <f>VLOOKUP(C19,Sheet3!A:D,4,0)</f>
        <v>2.4329999999999998</v>
      </c>
      <c r="AN19" s="21">
        <f t="shared" si="2"/>
        <v>1.1586518701191946</v>
      </c>
      <c r="AO19" s="8"/>
      <c r="AP19" s="86" t="b">
        <f t="shared" si="3"/>
        <v>1</v>
      </c>
      <c r="AQ19" s="86" t="b">
        <f t="shared" si="0"/>
        <v>1</v>
      </c>
    </row>
    <row r="20" spans="2:43" x14ac:dyDescent="0.2">
      <c r="B20" s="14">
        <v>12</v>
      </c>
      <c r="C20" s="15" t="str">
        <f>部所排名!C20</f>
        <v>哈尔滨综合中所</v>
      </c>
      <c r="D20" s="16">
        <f>部所排名!D20</f>
        <v>1.4770000000000001</v>
      </c>
      <c r="E20" s="17">
        <f>部所排名!E20</f>
        <v>2.0059999999999998</v>
      </c>
      <c r="F20" s="18">
        <f>部所排名!F20</f>
        <v>2.35</v>
      </c>
      <c r="G20" s="19">
        <f>部所排名!G20</f>
        <v>0.34272727272727277</v>
      </c>
      <c r="H20" s="20">
        <f>部所排名!H20</f>
        <v>0.21575757575757559</v>
      </c>
      <c r="I20" s="21">
        <f>部所排名!I20</f>
        <v>0.45420792079207928</v>
      </c>
      <c r="J20" s="16">
        <f>部所排名!J20</f>
        <v>1.7210000000000001</v>
      </c>
      <c r="K20" s="17">
        <f>部所排名!K20</f>
        <v>1.5640000000000001</v>
      </c>
      <c r="L20" s="20">
        <f>部所排名!L20</f>
        <v>0.10038363171355491</v>
      </c>
      <c r="M20" s="17">
        <f>部所排名!M20</f>
        <v>2.2919999999999998</v>
      </c>
      <c r="N20" s="21">
        <f>部所排名!N20</f>
        <v>0.75087260034904002</v>
      </c>
      <c r="O20" s="174">
        <f>部所排名!S20</f>
        <v>0.14235909355026147</v>
      </c>
      <c r="P20" s="20">
        <f>部所排名!Q20</f>
        <v>0.14875072632190586</v>
      </c>
      <c r="Q20" s="20">
        <f>部所排名!O20</f>
        <v>0.15165601394538059</v>
      </c>
      <c r="R20" s="20">
        <f>部所排名!T20</f>
        <v>0.15514235909355026</v>
      </c>
      <c r="S20" s="20">
        <f>部所排名!R20</f>
        <v>0.13422428820453225</v>
      </c>
      <c r="T20" s="20">
        <f>部所排名!U20</f>
        <v>0.16037187681580478</v>
      </c>
      <c r="U20" s="165">
        <f>部所排名!P20</f>
        <v>0.10749564206856478</v>
      </c>
      <c r="V20" s="165">
        <f>部所排名!V20</f>
        <v>0</v>
      </c>
      <c r="W20" s="16">
        <f>部所排名!W20</f>
        <v>0.26100000000000001</v>
      </c>
      <c r="X20" s="17">
        <f>部所排名!X20</f>
        <v>0.185</v>
      </c>
      <c r="Y20" s="17">
        <f>部所排名!Y20</f>
        <v>0.25600000000000001</v>
      </c>
      <c r="Z20" s="17">
        <f>部所排名!Z20</f>
        <v>0.23100000000000001</v>
      </c>
      <c r="AA20" s="17">
        <f>部所排名!AA20</f>
        <v>0.245</v>
      </c>
      <c r="AB20" s="17">
        <f>部所排名!AB20</f>
        <v>0.26700000000000002</v>
      </c>
      <c r="AC20" s="17">
        <f>部所排名!AC20</f>
        <v>0.27600000000000002</v>
      </c>
      <c r="AD20" s="18">
        <f>部所排名!AD20</f>
        <v>0</v>
      </c>
      <c r="AE20" s="150">
        <f>IF($C20="哈尔滨OT所","",VLOOKUP($B20,基础表!$C:$AZ,COLUMN(基础表!AQ$1)-2,0))</f>
        <v>0.96111111111111103</v>
      </c>
      <c r="AF20" s="22">
        <f>IF($C20="哈尔滨OT所","",VLOOKUP($B20,基础表!$C:$AZ,COLUMN(基础表!AR$1)-2,0))</f>
        <v>1</v>
      </c>
      <c r="AG20" s="21">
        <f>IF($C20="哈尔滨OT所","",VLOOKUP($B20,基础表!$C:$AZ,COLUMN(基础表!AS$1)-2,0))</f>
        <v>1</v>
      </c>
      <c r="AH20" s="16">
        <f>部所排名!AE20</f>
        <v>4.0000000000000001E-3</v>
      </c>
      <c r="AI20" s="17">
        <f>部所排名!AF20</f>
        <v>0.27200000000000002</v>
      </c>
      <c r="AJ20" s="17">
        <f>部所排名!AG20</f>
        <v>0.26800000000000002</v>
      </c>
      <c r="AK20" s="17">
        <f>VLOOKUP(C20,Sheet1!E:F,2,0)/1000</f>
        <v>0.60660000000000003</v>
      </c>
      <c r="AL20" s="20">
        <f t="shared" si="1"/>
        <v>0.44840092317837127</v>
      </c>
      <c r="AM20" s="193">
        <f>VLOOKUP(C20,Sheet3!A:D,4,0)</f>
        <v>2.2570000000000001</v>
      </c>
      <c r="AN20" s="21">
        <f t="shared" si="2"/>
        <v>0.12051395657953035</v>
      </c>
      <c r="AO20" s="8"/>
      <c r="AP20" s="86" t="b">
        <f t="shared" si="3"/>
        <v>1</v>
      </c>
      <c r="AQ20" s="86" t="b">
        <f t="shared" si="0"/>
        <v>1</v>
      </c>
    </row>
    <row r="21" spans="2:43" x14ac:dyDescent="0.2">
      <c r="B21" s="14">
        <v>13</v>
      </c>
      <c r="C21" s="15" t="str">
        <f>部所排名!C21</f>
        <v>海拉尔城区所</v>
      </c>
      <c r="D21" s="16">
        <f>部所排名!D21</f>
        <v>0.317</v>
      </c>
      <c r="E21" s="17">
        <f>部所排名!E21</f>
        <v>0.57499999999999996</v>
      </c>
      <c r="F21" s="18">
        <f>部所排名!F21</f>
        <v>0.41299999999999998</v>
      </c>
      <c r="G21" s="19">
        <f>部所排名!G21</f>
        <v>-0.17447916666666663</v>
      </c>
      <c r="H21" s="20">
        <f>部所排名!H21</f>
        <v>1.7421602787457413E-3</v>
      </c>
      <c r="I21" s="21">
        <f>部所排名!I21</f>
        <v>1.1288659793814433</v>
      </c>
      <c r="J21" s="16">
        <f>部所排名!J21</f>
        <v>0.51800000000000002</v>
      </c>
      <c r="K21" s="17">
        <f>部所排名!K21</f>
        <v>0.89900000000000002</v>
      </c>
      <c r="L21" s="20">
        <f>部所排名!L21</f>
        <v>-0.42380422691879871</v>
      </c>
      <c r="M21" s="17">
        <f>部所排名!M21</f>
        <v>0.69</v>
      </c>
      <c r="N21" s="21">
        <f>部所排名!N21</f>
        <v>0.75072463768115894</v>
      </c>
      <c r="O21" s="174">
        <f>部所排名!S21</f>
        <v>0.15250965250965251</v>
      </c>
      <c r="P21" s="20">
        <f>部所排名!Q21</f>
        <v>0.18725868725868725</v>
      </c>
      <c r="Q21" s="20">
        <f>部所排名!O21</f>
        <v>0.22393822393822393</v>
      </c>
      <c r="R21" s="20">
        <f>部所排名!T21</f>
        <v>0.13513513513513514</v>
      </c>
      <c r="S21" s="20">
        <f>部所排名!R21</f>
        <v>0.12548262548262548</v>
      </c>
      <c r="T21" s="20">
        <f>部所排名!U21</f>
        <v>5.791505791505791E-2</v>
      </c>
      <c r="U21" s="165">
        <f>部所排名!P21</f>
        <v>0.11776061776061776</v>
      </c>
      <c r="V21" s="165">
        <f>部所排名!V21</f>
        <v>0</v>
      </c>
      <c r="W21" s="16">
        <f>部所排名!W21</f>
        <v>0.11600000000000001</v>
      </c>
      <c r="X21" s="17">
        <f>部所排名!X21</f>
        <v>6.0999999999999999E-2</v>
      </c>
      <c r="Y21" s="17">
        <f>部所排名!Y21</f>
        <v>9.7000000000000003E-2</v>
      </c>
      <c r="Z21" s="17">
        <f>部所排名!Z21</f>
        <v>6.5000000000000002E-2</v>
      </c>
      <c r="AA21" s="17">
        <f>部所排名!AA21</f>
        <v>7.9000000000000001E-2</v>
      </c>
      <c r="AB21" s="17">
        <f>部所排名!AB21</f>
        <v>7.0000000000000007E-2</v>
      </c>
      <c r="AC21" s="17">
        <f>部所排名!AC21</f>
        <v>0.03</v>
      </c>
      <c r="AD21" s="18">
        <f>部所排名!AD21</f>
        <v>0</v>
      </c>
      <c r="AE21" s="150">
        <f>IF($C21="哈尔滨OT所","",VLOOKUP($B21,基础表!$C:$AZ,COLUMN(基础表!AQ$1)-2,0))</f>
        <v>0.51753325272067696</v>
      </c>
      <c r="AF21" s="22">
        <f>IF($C21="哈尔滨OT所","",VLOOKUP($B21,基础表!$C:$AZ,COLUMN(基础表!AR$1)-2,0))</f>
        <v>1</v>
      </c>
      <c r="AG21" s="21">
        <f>IF($C21="哈尔滨OT所","",VLOOKUP($B21,基础表!$C:$AZ,COLUMN(基础表!AS$1)-2,0))</f>
        <v>1</v>
      </c>
      <c r="AH21" s="16">
        <f>部所排名!AE21</f>
        <v>0.78600000000000003</v>
      </c>
      <c r="AI21" s="17">
        <f>部所排名!AF21</f>
        <v>0.56999999999999995</v>
      </c>
      <c r="AJ21" s="17">
        <f>部所排名!AG21</f>
        <v>-0.21600000000000008</v>
      </c>
      <c r="AK21" s="17">
        <f>VLOOKUP(C21,Sheet1!E:F,2,0)/1000</f>
        <v>0.42479800000000001</v>
      </c>
      <c r="AL21" s="20">
        <f t="shared" si="1"/>
        <v>1.3418142269973021</v>
      </c>
      <c r="AM21" s="193">
        <f>VLOOKUP(C21,Sheet3!A:D,4,0)</f>
        <v>0.86299999999999999</v>
      </c>
      <c r="AN21" s="21">
        <f t="shared" si="2"/>
        <v>0.66048667439165698</v>
      </c>
      <c r="AO21" s="8"/>
      <c r="AP21" s="86" t="b">
        <f t="shared" si="3"/>
        <v>1</v>
      </c>
      <c r="AQ21" s="86" t="b">
        <f t="shared" si="0"/>
        <v>1</v>
      </c>
    </row>
    <row r="22" spans="2:43" x14ac:dyDescent="0.2">
      <c r="B22" s="14">
        <v>14</v>
      </c>
      <c r="C22" s="15" t="str">
        <f>部所排名!C22</f>
        <v>双鸭山外埠所</v>
      </c>
      <c r="D22" s="16">
        <f>部所排名!D22</f>
        <v>1.2869999999999999</v>
      </c>
      <c r="E22" s="17">
        <f>部所排名!E22</f>
        <v>2.63</v>
      </c>
      <c r="F22" s="18">
        <f>部所排名!F22</f>
        <v>1.901</v>
      </c>
      <c r="G22" s="19">
        <f>部所排名!G22</f>
        <v>-7.0086705202312083E-2</v>
      </c>
      <c r="H22" s="20">
        <f>部所排名!H22</f>
        <v>9.3100581878636568E-2</v>
      </c>
      <c r="I22" s="21">
        <f>部所排名!I22</f>
        <v>-4.7595190380761543E-2</v>
      </c>
      <c r="J22" s="16">
        <f>部所排名!J22</f>
        <v>1.774</v>
      </c>
      <c r="K22" s="17">
        <f>部所排名!K22</f>
        <v>2.1869999999999998</v>
      </c>
      <c r="L22" s="20">
        <f>部所排名!L22</f>
        <v>-0.18884316415180602</v>
      </c>
      <c r="M22" s="17">
        <f>部所排名!M22</f>
        <v>2.4119999999999999</v>
      </c>
      <c r="N22" s="21">
        <f>部所排名!N22</f>
        <v>0.73548922056384702</v>
      </c>
      <c r="O22" s="174">
        <f>部所排名!S22</f>
        <v>0.10710259301014656</v>
      </c>
      <c r="P22" s="20">
        <f>部所排名!Q22</f>
        <v>0.15614430665163473</v>
      </c>
      <c r="Q22" s="20">
        <f>部所排名!O22</f>
        <v>0.20124013528748588</v>
      </c>
      <c r="R22" s="20">
        <f>部所排名!T22</f>
        <v>0.18545659526493799</v>
      </c>
      <c r="S22" s="20">
        <f>部所排名!R22</f>
        <v>9.0755355129650508E-2</v>
      </c>
      <c r="T22" s="20">
        <f>部所排名!U22</f>
        <v>0.15445321307779031</v>
      </c>
      <c r="U22" s="165">
        <f>部所排名!P22</f>
        <v>0.10484780157835399</v>
      </c>
      <c r="V22" s="165">
        <f>部所排名!V22</f>
        <v>0</v>
      </c>
      <c r="W22" s="16">
        <f>部所排名!W22</f>
        <v>0.35699999999999998</v>
      </c>
      <c r="X22" s="17">
        <f>部所排名!X22</f>
        <v>0.186</v>
      </c>
      <c r="Y22" s="17">
        <f>部所排名!Y22</f>
        <v>0.27700000000000002</v>
      </c>
      <c r="Z22" s="17">
        <f>部所排名!Z22</f>
        <v>0.161</v>
      </c>
      <c r="AA22" s="17">
        <f>部所排名!AA22</f>
        <v>0.19</v>
      </c>
      <c r="AB22" s="17">
        <f>部所排名!AB22</f>
        <v>0.32900000000000001</v>
      </c>
      <c r="AC22" s="17">
        <f>部所排名!AC22</f>
        <v>0.27400000000000002</v>
      </c>
      <c r="AD22" s="18">
        <f>部所排名!AD22</f>
        <v>0</v>
      </c>
      <c r="AE22" s="150">
        <f>IF($C22="哈尔滨OT所","",VLOOKUP($B22,基础表!$C:$AZ,COLUMN(基础表!AQ$1)-2,0))</f>
        <v>0.49706811005863799</v>
      </c>
      <c r="AF22" s="22">
        <f>IF($C22="哈尔滨OT所","",VLOOKUP($B22,基础表!$C:$AZ,COLUMN(基础表!AR$1)-2,0))</f>
        <v>0.77777777777777801</v>
      </c>
      <c r="AG22" s="21">
        <f>IF($C22="哈尔滨OT所","",VLOOKUP($B22,基础表!$C:$AZ,COLUMN(基础表!AS$1)-2,0))</f>
        <v>1</v>
      </c>
      <c r="AH22" s="16">
        <f>部所排名!AE22</f>
        <v>3.036</v>
      </c>
      <c r="AI22" s="17">
        <f>部所排名!AF22</f>
        <v>2.718</v>
      </c>
      <c r="AJ22" s="17">
        <f>部所排名!AG22</f>
        <v>-0.31800000000000006</v>
      </c>
      <c r="AK22" s="17">
        <f>VLOOKUP(C22,Sheet1!E:F,2,0)/1000</f>
        <v>2.0968020000000003</v>
      </c>
      <c r="AL22" s="20">
        <f t="shared" si="1"/>
        <v>1.2962597326786218</v>
      </c>
      <c r="AM22" s="193">
        <f>VLOOKUP(C22,Sheet3!A:D,4,0)</f>
        <v>1.9390000000000001</v>
      </c>
      <c r="AN22" s="21">
        <f t="shared" si="2"/>
        <v>1.4017534811758638</v>
      </c>
      <c r="AO22" s="8"/>
      <c r="AP22" s="86" t="b">
        <f t="shared" si="3"/>
        <v>1</v>
      </c>
      <c r="AQ22" s="86" t="b">
        <f t="shared" si="0"/>
        <v>1</v>
      </c>
    </row>
    <row r="23" spans="2:43" x14ac:dyDescent="0.2">
      <c r="B23" s="14">
        <v>15</v>
      </c>
      <c r="C23" s="125" t="str">
        <f>部所排名!C23</f>
        <v>肇东外埠所</v>
      </c>
      <c r="D23" s="16">
        <f>部所排名!D23</f>
        <v>1.2110000000000001</v>
      </c>
      <c r="E23" s="17">
        <f>部所排名!E23</f>
        <v>2.6840000000000002</v>
      </c>
      <c r="F23" s="18">
        <f>部所排名!F23</f>
        <v>1.7030000000000001</v>
      </c>
      <c r="G23" s="19">
        <f>部所排名!G23</f>
        <v>-0.24501246882793015</v>
      </c>
      <c r="H23" s="20">
        <f>部所排名!H23</f>
        <v>-0.11652402896642522</v>
      </c>
      <c r="I23" s="21">
        <f>部所排名!I23</f>
        <v>-0.12756147540983598</v>
      </c>
      <c r="J23" s="16">
        <f>部所排名!J23</f>
        <v>1.4910000000000001</v>
      </c>
      <c r="K23" s="17">
        <f>部所排名!K23</f>
        <v>2.0819999999999999</v>
      </c>
      <c r="L23" s="20">
        <f>部所排名!L23</f>
        <v>-0.28386167146974051</v>
      </c>
      <c r="M23" s="17">
        <f>部所排名!M23</f>
        <v>2.0819999999999999</v>
      </c>
      <c r="N23" s="21">
        <f>部所排名!N23</f>
        <v>0.71613832853025894</v>
      </c>
      <c r="O23" s="174">
        <f>部所排名!S23</f>
        <v>0.14419852448021461</v>
      </c>
      <c r="P23" s="20">
        <f>部所排名!Q23</f>
        <v>0.19450033534540573</v>
      </c>
      <c r="Q23" s="20">
        <f>部所排名!O23</f>
        <v>0.13816230717639166</v>
      </c>
      <c r="R23" s="20">
        <f>部所排名!T23</f>
        <v>0.11401743796109994</v>
      </c>
      <c r="S23" s="20">
        <f>部所排名!R23</f>
        <v>0.15425888665325285</v>
      </c>
      <c r="T23" s="20">
        <f>部所排名!U23</f>
        <v>0.11066398390342053</v>
      </c>
      <c r="U23" s="165">
        <f>部所排名!P23</f>
        <v>0.14419852448021461</v>
      </c>
      <c r="V23" s="165">
        <f>部所排名!V23</f>
        <v>0</v>
      </c>
      <c r="W23" s="16">
        <f>部所排名!W23</f>
        <v>0.20599999999999999</v>
      </c>
      <c r="X23" s="17">
        <f>部所排名!X23</f>
        <v>0.215</v>
      </c>
      <c r="Y23" s="17">
        <f>部所排名!Y23</f>
        <v>0.28999999999999998</v>
      </c>
      <c r="Z23" s="17">
        <f>部所排名!Z23</f>
        <v>0.23</v>
      </c>
      <c r="AA23" s="17">
        <f>部所排名!AA23</f>
        <v>0.215</v>
      </c>
      <c r="AB23" s="17">
        <f>部所排名!AB23</f>
        <v>0.17</v>
      </c>
      <c r="AC23" s="17">
        <f>部所排名!AC23</f>
        <v>0.16500000000000001</v>
      </c>
      <c r="AD23" s="18">
        <f>部所排名!AD23</f>
        <v>0</v>
      </c>
      <c r="AE23" s="150">
        <f>IF($C23="哈尔滨OT所","",VLOOKUP($B23,基础表!$C:$AZ,COLUMN(基础表!AQ$1)-2,0))</f>
        <v>0.866528354080221</v>
      </c>
      <c r="AF23" s="22">
        <f>IF($C23="哈尔滨OT所","",VLOOKUP($B23,基础表!$C:$AZ,COLUMN(基础表!AR$1)-2,0))</f>
        <v>0.96062992125984292</v>
      </c>
      <c r="AG23" s="21">
        <f>IF($C23="哈尔滨OT所","",VLOOKUP($B23,基础表!$C:$AZ,COLUMN(基础表!AS$1)-2,0))</f>
        <v>0.98425196850393704</v>
      </c>
      <c r="AH23" s="16">
        <f>部所排名!AE23</f>
        <v>2.4390000000000001</v>
      </c>
      <c r="AI23" s="17">
        <f>部所排名!AF23</f>
        <v>2.371</v>
      </c>
      <c r="AJ23" s="17">
        <f>部所排名!AG23</f>
        <v>-6.800000000000006E-2</v>
      </c>
      <c r="AK23" s="17">
        <f>VLOOKUP(C23,Sheet1!E:F,2,0)/1000</f>
        <v>1.3054030000000001</v>
      </c>
      <c r="AL23" s="20">
        <f t="shared" si="1"/>
        <v>1.8162973426596996</v>
      </c>
      <c r="AM23" s="193">
        <f>VLOOKUP(C23,Sheet3!A:D,4,0)</f>
        <v>1.76</v>
      </c>
      <c r="AN23" s="21">
        <f t="shared" si="2"/>
        <v>1.3471590909090909</v>
      </c>
      <c r="AO23" s="8"/>
      <c r="AP23" s="86" t="b">
        <f t="shared" si="3"/>
        <v>1</v>
      </c>
      <c r="AQ23" s="86" t="b">
        <f t="shared" si="0"/>
        <v>1</v>
      </c>
    </row>
    <row r="24" spans="2:43" x14ac:dyDescent="0.2">
      <c r="B24" s="14">
        <v>16</v>
      </c>
      <c r="C24" s="125" t="str">
        <f>部所排名!C24</f>
        <v>龙江外埠所</v>
      </c>
      <c r="D24" s="16">
        <f>部所排名!D24</f>
        <v>1.2470000000000001</v>
      </c>
      <c r="E24" s="17">
        <f>部所排名!E24</f>
        <v>2.4820000000000002</v>
      </c>
      <c r="F24" s="18">
        <f>部所排名!F24</f>
        <v>1.8460000000000001</v>
      </c>
      <c r="G24" s="19">
        <f>部所排名!G24</f>
        <v>-9.4408133623819834E-2</v>
      </c>
      <c r="H24" s="20">
        <f>部所排名!H24</f>
        <v>2.0185708518369871E-3</v>
      </c>
      <c r="I24" s="21">
        <f>部所排名!I24</f>
        <v>-0.11335254562920261</v>
      </c>
      <c r="J24" s="16">
        <f>部所排名!J24</f>
        <v>2.0739999999999998</v>
      </c>
      <c r="K24" s="17">
        <f>部所排名!K24</f>
        <v>2.7280000000000002</v>
      </c>
      <c r="L24" s="20">
        <f>部所排名!L24</f>
        <v>-0.23973607038123179</v>
      </c>
      <c r="M24" s="17">
        <f>部所排名!M24</f>
        <v>3.0739999999999998</v>
      </c>
      <c r="N24" s="21">
        <f>部所排名!N24</f>
        <v>0.67469095640858801</v>
      </c>
      <c r="O24" s="174">
        <f>部所排名!S24</f>
        <v>0.15911282545805208</v>
      </c>
      <c r="P24" s="20">
        <f>部所排名!Q24</f>
        <v>0.1513982642237223</v>
      </c>
      <c r="Q24" s="20">
        <f>部所排名!O24</f>
        <v>0.18081002892960465</v>
      </c>
      <c r="R24" s="20">
        <f>部所排名!T24</f>
        <v>0.11089681774349085</v>
      </c>
      <c r="S24" s="20">
        <f>部所排名!R24</f>
        <v>0.15621986499517843</v>
      </c>
      <c r="T24" s="20">
        <f>部所排名!U24</f>
        <v>0.17888138862102218</v>
      </c>
      <c r="U24" s="165">
        <f>部所排名!P24</f>
        <v>6.2680810028929612E-2</v>
      </c>
      <c r="V24" s="165">
        <f>部所排名!V24</f>
        <v>0</v>
      </c>
      <c r="W24" s="16">
        <f>部所排名!W24</f>
        <v>0.375</v>
      </c>
      <c r="X24" s="17">
        <f>部所排名!X24</f>
        <v>0.13</v>
      </c>
      <c r="Y24" s="17">
        <f>部所排名!Y24</f>
        <v>0.314</v>
      </c>
      <c r="Z24" s="17">
        <f>部所排名!Z24</f>
        <v>0.32400000000000001</v>
      </c>
      <c r="AA24" s="17">
        <f>部所排名!AA24</f>
        <v>0.33</v>
      </c>
      <c r="AB24" s="17">
        <f>部所排名!AB24</f>
        <v>0.23</v>
      </c>
      <c r="AC24" s="17">
        <f>部所排名!AC24</f>
        <v>0.371</v>
      </c>
      <c r="AD24" s="18">
        <f>部所排名!AD24</f>
        <v>0</v>
      </c>
      <c r="AE24" s="150">
        <f>IF($C24="哈尔滨OT所","",VLOOKUP($B24,基础表!$C:$AZ,COLUMN(基础表!AQ$1)-2,0))</f>
        <v>0.73257211538461509</v>
      </c>
      <c r="AF24" s="22">
        <f>IF($C24="哈尔滨OT所","",VLOOKUP($B24,基础表!$C:$AZ,COLUMN(基础表!AR$1)-2,0))</f>
        <v>0.875</v>
      </c>
      <c r="AG24" s="21">
        <f>IF($C24="哈尔滨OT所","",VLOOKUP($B24,基础表!$C:$AZ,COLUMN(基础表!AS$1)-2,0))</f>
        <v>1</v>
      </c>
      <c r="AH24" s="16">
        <f>部所排名!AE24</f>
        <v>2.5289999999999999</v>
      </c>
      <c r="AI24" s="17">
        <f>部所排名!AF24</f>
        <v>2.4510000000000001</v>
      </c>
      <c r="AJ24" s="17">
        <f>部所排名!AG24</f>
        <v>-7.7999999999999847E-2</v>
      </c>
      <c r="AK24" s="17">
        <f>VLOOKUP(C24,Sheet1!E:F,2,0)/1000</f>
        <v>1.74777</v>
      </c>
      <c r="AL24" s="20">
        <f t="shared" si="1"/>
        <v>1.4023584338900428</v>
      </c>
      <c r="AM24" s="193">
        <f>VLOOKUP(C24,Sheet3!A:D,4,0)</f>
        <v>2.2389999999999999</v>
      </c>
      <c r="AN24" s="21">
        <f t="shared" si="2"/>
        <v>1.0946851272889684</v>
      </c>
      <c r="AO24" s="8"/>
      <c r="AP24" s="86" t="b">
        <f t="shared" si="3"/>
        <v>1</v>
      </c>
      <c r="AQ24" s="86" t="b">
        <f t="shared" si="0"/>
        <v>1</v>
      </c>
    </row>
    <row r="25" spans="2:43" x14ac:dyDescent="0.2">
      <c r="B25" s="14">
        <v>17</v>
      </c>
      <c r="C25" s="125" t="str">
        <f>部所排名!C25</f>
        <v>哈尔滨综合东所</v>
      </c>
      <c r="D25" s="16">
        <f>部所排名!D25</f>
        <v>0.63300000000000001</v>
      </c>
      <c r="E25" s="17">
        <f>部所排名!E25</f>
        <v>1.1839999999999999</v>
      </c>
      <c r="F25" s="18">
        <f>部所排名!F25</f>
        <v>0.82499999999999996</v>
      </c>
      <c r="G25" s="19">
        <f>部所排名!G25</f>
        <v>-3.9453717754173057E-2</v>
      </c>
      <c r="H25" s="20">
        <f>部所排名!H25</f>
        <v>0.15175097276264582</v>
      </c>
      <c r="I25" s="21">
        <f>部所排名!I25</f>
        <v>9.8535286284953338E-2</v>
      </c>
      <c r="J25" s="16">
        <f>部所排名!J25</f>
        <v>0.88500000000000001</v>
      </c>
      <c r="K25" s="17">
        <f>部所排名!K25</f>
        <v>1.569</v>
      </c>
      <c r="L25" s="20">
        <f>部所排名!L25</f>
        <v>-0.43594646271510518</v>
      </c>
      <c r="M25" s="17">
        <f>部所排名!M25</f>
        <v>1.405</v>
      </c>
      <c r="N25" s="21">
        <f>部所排名!N25</f>
        <v>0.629893238434164</v>
      </c>
      <c r="O25" s="174">
        <f>部所排名!S25</f>
        <v>0.103954802259887</v>
      </c>
      <c r="P25" s="20">
        <f>部所排名!Q25</f>
        <v>0.18305084745762712</v>
      </c>
      <c r="Q25" s="20">
        <f>部所排名!O25</f>
        <v>0.14237288135593221</v>
      </c>
      <c r="R25" s="20">
        <f>部所排名!T25</f>
        <v>0.1175141242937853</v>
      </c>
      <c r="S25" s="20">
        <f>部所排名!R25</f>
        <v>0.16384180790960451</v>
      </c>
      <c r="T25" s="20">
        <f>部所排名!U25</f>
        <v>0.1536723163841808</v>
      </c>
      <c r="U25" s="165">
        <f>部所排名!P25</f>
        <v>0.13559322033898305</v>
      </c>
      <c r="V25" s="165">
        <f>部所排名!V25</f>
        <v>0</v>
      </c>
      <c r="W25" s="16">
        <f>部所排名!W25</f>
        <v>0.126</v>
      </c>
      <c r="X25" s="17">
        <f>部所排名!X25</f>
        <v>0.12</v>
      </c>
      <c r="Y25" s="17">
        <f>部所排名!Y25</f>
        <v>0.16200000000000001</v>
      </c>
      <c r="Z25" s="17">
        <f>部所排名!Z25</f>
        <v>0.14499999999999999</v>
      </c>
      <c r="AA25" s="17">
        <f>部所排名!AA25</f>
        <v>9.1999999999999998E-2</v>
      </c>
      <c r="AB25" s="17">
        <f>部所排名!AB25</f>
        <v>0.104</v>
      </c>
      <c r="AC25" s="17">
        <f>部所排名!AC25</f>
        <v>0.13600000000000001</v>
      </c>
      <c r="AD25" s="18">
        <f>部所排名!AD25</f>
        <v>0</v>
      </c>
      <c r="AE25" s="150">
        <f>IF($C25="哈尔滨OT所","",VLOOKUP($B25,基础表!$C:$AZ,COLUMN(基础表!AQ$1)-2,0))</f>
        <v>0.87797619047619091</v>
      </c>
      <c r="AF25" s="22">
        <f>IF($C25="哈尔滨OT所","",VLOOKUP($B25,基础表!$C:$AZ,COLUMN(基础表!AR$1)-2,0))</f>
        <v>1</v>
      </c>
      <c r="AG25" s="21">
        <f>IF($C25="哈尔滨OT所","",VLOOKUP($B25,基础表!$C:$AZ,COLUMN(基础表!AS$1)-2,0))</f>
        <v>1</v>
      </c>
      <c r="AH25" s="16">
        <f>部所排名!AE25</f>
        <v>0.33900000000000002</v>
      </c>
      <c r="AI25" s="17">
        <f>部所排名!AF25</f>
        <v>0.54100000000000004</v>
      </c>
      <c r="AJ25" s="17">
        <f>部所排名!AG25</f>
        <v>0.20200000000000001</v>
      </c>
      <c r="AK25" s="17">
        <f>VLOOKUP(C25,Sheet1!E:F,2,0)/1000</f>
        <v>0.50040200000000001</v>
      </c>
      <c r="AL25" s="20">
        <f t="shared" si="1"/>
        <v>1.0811307708602285</v>
      </c>
      <c r="AM25" s="193">
        <f>VLOOKUP(C25,Sheet3!A:D,4,0)</f>
        <v>1.0669999999999999</v>
      </c>
      <c r="AN25" s="21">
        <f t="shared" si="2"/>
        <v>0.50702905342080606</v>
      </c>
      <c r="AO25" s="8"/>
      <c r="AP25" s="86" t="b">
        <f t="shared" si="3"/>
        <v>1</v>
      </c>
      <c r="AQ25" s="86" t="b">
        <f t="shared" si="0"/>
        <v>1</v>
      </c>
    </row>
    <row r="26" spans="2:43" x14ac:dyDescent="0.2">
      <c r="B26" s="14">
        <v>18</v>
      </c>
      <c r="C26" s="125" t="str">
        <f>部所排名!C26</f>
        <v>哈尔滨综合西所</v>
      </c>
      <c r="D26" s="16">
        <f>部所排名!D26</f>
        <v>0.58899999999999997</v>
      </c>
      <c r="E26" s="17">
        <f>部所排名!E26</f>
        <v>1.125</v>
      </c>
      <c r="F26" s="18">
        <f>部所排名!F26</f>
        <v>0.64500000000000002</v>
      </c>
      <c r="G26" s="19">
        <f>部所排名!G26</f>
        <v>-0.16925246826516216</v>
      </c>
      <c r="H26" s="20">
        <f>部所排名!H26</f>
        <v>7.1620411817368002E-3</v>
      </c>
      <c r="I26" s="21">
        <f>部所排名!I26</f>
        <v>1.8957345971563955E-2</v>
      </c>
      <c r="J26" s="16">
        <f>部所排名!J26</f>
        <v>0.79</v>
      </c>
      <c r="K26" s="138">
        <f>部所排名!K26</f>
        <v>1.478</v>
      </c>
      <c r="L26" s="20">
        <f>部所排名!L26</f>
        <v>-0.4654939106901218</v>
      </c>
      <c r="M26" s="17">
        <f>部所排名!M26</f>
        <v>1.3240000000000001</v>
      </c>
      <c r="N26" s="21">
        <f>部所排名!N26</f>
        <v>0.59667673716012093</v>
      </c>
      <c r="O26" s="174">
        <f>部所排名!S26</f>
        <v>0.16202531645569621</v>
      </c>
      <c r="P26" s="20">
        <f>部所排名!Q26</f>
        <v>0.21139240506329116</v>
      </c>
      <c r="Q26" s="20">
        <f>部所排名!O26</f>
        <v>0.21265822784810126</v>
      </c>
      <c r="R26" s="20">
        <f>部所排名!T26</f>
        <v>0.13037974683544301</v>
      </c>
      <c r="S26" s="20">
        <f>部所排名!R26</f>
        <v>9.8734177215189872E-2</v>
      </c>
      <c r="T26" s="20">
        <f>部所排名!U26</f>
        <v>7.3417721518987344E-2</v>
      </c>
      <c r="U26" s="165">
        <f>部所排名!P26</f>
        <v>0.11139240506329112</v>
      </c>
      <c r="V26" s="165">
        <f>部所排名!V26</f>
        <v>0</v>
      </c>
      <c r="W26" s="16">
        <f>部所排名!W26</f>
        <v>0.16800000000000001</v>
      </c>
      <c r="X26" s="17">
        <f>部所排名!X26</f>
        <v>8.7999999999999995E-2</v>
      </c>
      <c r="Y26" s="17">
        <f>部所排名!Y26</f>
        <v>0.16700000000000001</v>
      </c>
      <c r="Z26" s="17">
        <f>部所排名!Z26</f>
        <v>7.8E-2</v>
      </c>
      <c r="AA26" s="17">
        <f>部所排名!AA26</f>
        <v>0.128</v>
      </c>
      <c r="AB26" s="17">
        <f>部所排名!AB26</f>
        <v>0.10299999999999999</v>
      </c>
      <c r="AC26" s="17">
        <f>部所排名!AC26</f>
        <v>5.8000000000000003E-2</v>
      </c>
      <c r="AD26" s="18">
        <f>部所排名!AD26</f>
        <v>0</v>
      </c>
      <c r="AE26" s="150">
        <f>IF($C26="哈尔滨OT所","",VLOOKUP($B26,基础表!$C:$AZ,COLUMN(基础表!AQ$1)-2,0))</f>
        <v>0.94494047619047605</v>
      </c>
      <c r="AF26" s="22">
        <f>IF($C26="哈尔滨OT所","",VLOOKUP($B26,基础表!$C:$AZ,COLUMN(基础表!AR$1)-2,0))</f>
        <v>1</v>
      </c>
      <c r="AG26" s="21">
        <f>IF($C26="哈尔滨OT所","",VLOOKUP($B26,基础表!$C:$AZ,COLUMN(基础表!AS$1)-2,0))</f>
        <v>1</v>
      </c>
      <c r="AH26" s="16">
        <f>部所排名!AE26</f>
        <v>0.252</v>
      </c>
      <c r="AI26" s="17">
        <f>部所排名!AF26</f>
        <v>0.34300000000000003</v>
      </c>
      <c r="AJ26" s="17">
        <f>部所排名!AG26</f>
        <v>9.1000000000000025E-2</v>
      </c>
      <c r="AK26" s="17">
        <f>VLOOKUP(C26,Sheet1!E:F,2,0)/1000</f>
        <v>0.58969799999999994</v>
      </c>
      <c r="AL26" s="20">
        <f t="shared" si="1"/>
        <v>0.58165366000902163</v>
      </c>
      <c r="AM26" s="193">
        <f>VLOOKUP(C26,Sheet3!A:D,4,0)</f>
        <v>0.97799999999999998</v>
      </c>
      <c r="AN26" s="21">
        <f t="shared" si="2"/>
        <v>0.3507157464212679</v>
      </c>
      <c r="AO26" s="8"/>
      <c r="AP26" s="86" t="b">
        <f t="shared" si="3"/>
        <v>1</v>
      </c>
      <c r="AQ26" s="86" t="b">
        <f t="shared" si="0"/>
        <v>1</v>
      </c>
    </row>
    <row r="27" spans="2:43" x14ac:dyDescent="0.2">
      <c r="B27" s="14">
        <v>19</v>
      </c>
      <c r="C27" s="125" t="str">
        <f>部所排名!C27</f>
        <v>鸡西城区所</v>
      </c>
      <c r="D27" s="16">
        <f>部所排名!D27</f>
        <v>0.83299999999999996</v>
      </c>
      <c r="E27" s="17">
        <f>部所排名!E27</f>
        <v>0.93700000000000006</v>
      </c>
      <c r="F27" s="18">
        <f>部所排名!F27</f>
        <v>1.06</v>
      </c>
      <c r="G27" s="19">
        <f>部所排名!G27</f>
        <v>-2.2300469483568119E-2</v>
      </c>
      <c r="H27" s="20">
        <f>部所排名!H27</f>
        <v>-2.1920668058455051E-2</v>
      </c>
      <c r="I27" s="21">
        <f>部所排名!I27</f>
        <v>-4.8473967684021568E-2</v>
      </c>
      <c r="J27" s="16">
        <f>部所排名!J27</f>
        <v>0.67700000000000005</v>
      </c>
      <c r="K27" s="138">
        <f>部所排名!K27</f>
        <v>1.05</v>
      </c>
      <c r="L27" s="20">
        <f>部所排名!L27</f>
        <v>-0.35523809523809524</v>
      </c>
      <c r="M27" s="17">
        <f>部所排名!M27</f>
        <v>1.1359999999999999</v>
      </c>
      <c r="N27" s="21">
        <f>部所排名!N27</f>
        <v>0.59595070422535201</v>
      </c>
      <c r="O27" s="174">
        <f>部所排名!S27</f>
        <v>0.16248153618906941</v>
      </c>
      <c r="P27" s="20">
        <f>部所排名!Q27</f>
        <v>6.7946824224519933E-2</v>
      </c>
      <c r="Q27" s="20">
        <f>部所排名!O27</f>
        <v>0.25849335302806498</v>
      </c>
      <c r="R27" s="20">
        <f>部所排名!T27</f>
        <v>0.11078286558345642</v>
      </c>
      <c r="S27" s="20">
        <f>部所排名!R27</f>
        <v>6.9423929098966025E-2</v>
      </c>
      <c r="T27" s="20">
        <f>部所排名!U27</f>
        <v>0.2363367799113737</v>
      </c>
      <c r="U27" s="165">
        <f>部所排名!P27</f>
        <v>9.4534711964549475E-2</v>
      </c>
      <c r="V27" s="165">
        <f>部所排名!V27</f>
        <v>0</v>
      </c>
      <c r="W27" s="16">
        <f>部所排名!W27</f>
        <v>0.17499999999999999</v>
      </c>
      <c r="X27" s="17">
        <f>部所排名!X27</f>
        <v>6.4000000000000001E-2</v>
      </c>
      <c r="Y27" s="17">
        <f>部所排名!Y27</f>
        <v>4.5999999999999999E-2</v>
      </c>
      <c r="Z27" s="17">
        <f>部所排名!Z27</f>
        <v>4.7E-2</v>
      </c>
      <c r="AA27" s="17">
        <f>部所排名!AA27</f>
        <v>0.11</v>
      </c>
      <c r="AB27" s="17">
        <f>部所排名!AB27</f>
        <v>7.4999999999999997E-2</v>
      </c>
      <c r="AC27" s="17">
        <f>部所排名!AC27</f>
        <v>0.16</v>
      </c>
      <c r="AD27" s="18">
        <f>部所排名!AD27</f>
        <v>0</v>
      </c>
      <c r="AE27" s="150">
        <f>IF($C27="哈尔滨OT所","",VLOOKUP($B27,基础表!$C:$AZ,COLUMN(基础表!AQ$1)-2,0))</f>
        <v>0.558970099667774</v>
      </c>
      <c r="AF27" s="22">
        <f>IF($C27="哈尔滨OT所","",VLOOKUP($B27,基础表!$C:$AZ,COLUMN(基础表!AR$1)-2,0))</f>
        <v>1</v>
      </c>
      <c r="AG27" s="21">
        <f>IF($C27="哈尔滨OT所","",VLOOKUP($B27,基础表!$C:$AZ,COLUMN(基础表!AS$1)-2,0))</f>
        <v>1</v>
      </c>
      <c r="AH27" s="16">
        <f>部所排名!AE27</f>
        <v>1.393</v>
      </c>
      <c r="AI27" s="17">
        <f>部所排名!AF27</f>
        <v>1.246</v>
      </c>
      <c r="AJ27" s="17">
        <f>部所排名!AG27</f>
        <v>-0.14700000000000002</v>
      </c>
      <c r="AK27" s="17">
        <f>VLOOKUP(C27,Sheet1!E:F,2,0)/1000</f>
        <v>0.364394</v>
      </c>
      <c r="AL27" s="20">
        <f t="shared" si="1"/>
        <v>3.4193757306651591</v>
      </c>
      <c r="AM27" s="193">
        <f>VLOOKUP(C27,Sheet3!A:D,4,0)</f>
        <v>0.93</v>
      </c>
      <c r="AN27" s="21">
        <f t="shared" si="2"/>
        <v>1.339784946236559</v>
      </c>
      <c r="AO27" s="8"/>
      <c r="AP27" s="86" t="b">
        <f t="shared" si="3"/>
        <v>1</v>
      </c>
      <c r="AQ27" s="86" t="b">
        <f t="shared" si="0"/>
        <v>1</v>
      </c>
    </row>
    <row r="28" spans="2:43" x14ac:dyDescent="0.2">
      <c r="B28" s="14">
        <v>20</v>
      </c>
      <c r="C28" s="125" t="str">
        <f>部所排名!C28</f>
        <v>佳木斯城区所</v>
      </c>
      <c r="D28" s="16">
        <f>部所排名!D28</f>
        <v>0.52700000000000002</v>
      </c>
      <c r="E28" s="17">
        <f>部所排名!E28</f>
        <v>0.91400000000000003</v>
      </c>
      <c r="F28" s="18">
        <f>部所排名!F28</f>
        <v>0.42299999999999999</v>
      </c>
      <c r="G28" s="19">
        <f>部所排名!G28</f>
        <v>-0.18547140649149918</v>
      </c>
      <c r="H28" s="20">
        <f>部所排名!H28</f>
        <v>-4.3572984749455923E-3</v>
      </c>
      <c r="I28" s="21">
        <f>部所排名!I28</f>
        <v>-0.21811460258780047</v>
      </c>
      <c r="J28" s="16">
        <f>部所排名!J28</f>
        <v>0.39</v>
      </c>
      <c r="K28" s="17">
        <f>部所排名!K28</f>
        <v>0.72799999999999998</v>
      </c>
      <c r="L28" s="20">
        <f>部所排名!L28</f>
        <v>-0.4642857142857143</v>
      </c>
      <c r="M28" s="17">
        <f>部所排名!M28</f>
        <v>0.68600000000000005</v>
      </c>
      <c r="N28" s="21">
        <f>部所排名!N28</f>
        <v>0.56851311953352801</v>
      </c>
      <c r="O28" s="174">
        <f>部所排名!S28</f>
        <v>8.461538461538462E-2</v>
      </c>
      <c r="P28" s="20">
        <f>部所排名!Q28</f>
        <v>0.11538461538461538</v>
      </c>
      <c r="Q28" s="20">
        <f>部所排名!O28</f>
        <v>0.30769230769230765</v>
      </c>
      <c r="R28" s="20">
        <f>部所排名!T28</f>
        <v>0.24102564102564103</v>
      </c>
      <c r="S28" s="20">
        <f>部所排名!R28</f>
        <v>8.9743589743589744E-2</v>
      </c>
      <c r="T28" s="20">
        <f>部所排名!U28</f>
        <v>6.4102564102564111E-2</v>
      </c>
      <c r="U28" s="165">
        <f>部所排名!P28</f>
        <v>9.7435897435897437E-2</v>
      </c>
      <c r="V28" s="165">
        <f>部所排名!V28</f>
        <v>0</v>
      </c>
      <c r="W28" s="16">
        <f>部所排名!W28</f>
        <v>0.12</v>
      </c>
      <c r="X28" s="17">
        <f>部所排名!X28</f>
        <v>3.7999999999999999E-2</v>
      </c>
      <c r="Y28" s="17">
        <f>部所排名!Y28</f>
        <v>4.4999999999999998E-2</v>
      </c>
      <c r="Z28" s="17">
        <f>部所排名!Z28</f>
        <v>3.5000000000000003E-2</v>
      </c>
      <c r="AA28" s="17">
        <f>部所排名!AA28</f>
        <v>3.3000000000000002E-2</v>
      </c>
      <c r="AB28" s="17">
        <f>部所排名!AB28</f>
        <v>9.4E-2</v>
      </c>
      <c r="AC28" s="17">
        <f>部所排名!AC28</f>
        <v>2.5000000000000001E-2</v>
      </c>
      <c r="AD28" s="18">
        <f>部所排名!AD28</f>
        <v>0</v>
      </c>
      <c r="AE28" s="150">
        <f>IF($C28="哈尔滨OT所","",VLOOKUP($B28,基础表!$C:$AZ,COLUMN(基础表!AQ$1)-2,0))</f>
        <v>0.38773388773388801</v>
      </c>
      <c r="AF28" s="22">
        <f>IF($C28="哈尔滨OT所","",VLOOKUP($B28,基础表!$C:$AZ,COLUMN(基础表!AR$1)-2,0))</f>
        <v>0.72881355932203407</v>
      </c>
      <c r="AG28" s="21">
        <f>IF($C28="哈尔滨OT所","",VLOOKUP($B28,基础表!$C:$AZ,COLUMN(基础表!AS$1)-2,0))</f>
        <v>1</v>
      </c>
      <c r="AH28" s="16">
        <f>部所排名!AE28</f>
        <v>1.1910000000000001</v>
      </c>
      <c r="AI28" s="17">
        <f>部所排名!AF28</f>
        <v>0.95899999999999996</v>
      </c>
      <c r="AJ28" s="17">
        <f>部所排名!AG28</f>
        <v>-0.2320000000000001</v>
      </c>
      <c r="AK28" s="17">
        <f>VLOOKUP(C28,Sheet1!E:F,2,0)/1000</f>
        <v>0.218</v>
      </c>
      <c r="AL28" s="20">
        <f t="shared" si="1"/>
        <v>4.3990825688073389</v>
      </c>
      <c r="AM28" s="193">
        <f>VLOOKUP(C28,Sheet3!A:D,4,0)</f>
        <v>0.56799999999999995</v>
      </c>
      <c r="AN28" s="21">
        <f t="shared" si="2"/>
        <v>1.688380281690141</v>
      </c>
      <c r="AO28" s="8"/>
      <c r="AP28" s="86" t="b">
        <f t="shared" si="3"/>
        <v>1</v>
      </c>
      <c r="AQ28" s="86" t="b">
        <f t="shared" si="0"/>
        <v>1</v>
      </c>
    </row>
    <row r="29" spans="2:43" x14ac:dyDescent="0.2">
      <c r="B29" s="14">
        <v>21</v>
      </c>
      <c r="C29" s="125" t="str">
        <f>部所排名!C29</f>
        <v>五常外埠所</v>
      </c>
      <c r="D29" s="16">
        <f>部所排名!D29</f>
        <v>1.472</v>
      </c>
      <c r="E29" s="17">
        <f>部所排名!E29</f>
        <v>2.7810000000000001</v>
      </c>
      <c r="F29" s="18">
        <f>部所排名!F29</f>
        <v>1.736</v>
      </c>
      <c r="G29" s="19">
        <f>部所排名!G29</f>
        <v>-0.1785714285714286</v>
      </c>
      <c r="H29" s="20">
        <f>部所排名!H29</f>
        <v>-0.13066583307283519</v>
      </c>
      <c r="I29" s="21">
        <f>部所排名!I29</f>
        <v>-0.33127889060092452</v>
      </c>
      <c r="J29" s="16">
        <f>部所排名!J29</f>
        <v>2.125</v>
      </c>
      <c r="K29" s="17">
        <f>部所排名!K29</f>
        <v>3.3330000000000002</v>
      </c>
      <c r="L29" s="20">
        <f>部所排名!L29</f>
        <v>-0.36243624362436244</v>
      </c>
      <c r="M29" s="17">
        <f>部所排名!M29</f>
        <v>3.847</v>
      </c>
      <c r="N29" s="21">
        <f>部所排名!N29</f>
        <v>0.55237847673511797</v>
      </c>
      <c r="O29" s="174">
        <f>部所排名!S29</f>
        <v>9.4117647058823528E-2</v>
      </c>
      <c r="P29" s="20">
        <f>部所排名!Q29</f>
        <v>0.17694117647058824</v>
      </c>
      <c r="Q29" s="20">
        <f>部所排名!O29</f>
        <v>0.20141176470588235</v>
      </c>
      <c r="R29" s="20">
        <f>部所排名!T29</f>
        <v>0.15905882352941178</v>
      </c>
      <c r="S29" s="20">
        <f>部所排名!R29</f>
        <v>0.14682352941176471</v>
      </c>
      <c r="T29" s="20">
        <f>部所排名!U29</f>
        <v>0.17270588235294118</v>
      </c>
      <c r="U29" s="165">
        <f>部所排名!P29</f>
        <v>4.1411764705882349E-2</v>
      </c>
      <c r="V29" s="165">
        <f>部所排名!V29</f>
        <v>7.5294117647058826E-3</v>
      </c>
      <c r="W29" s="16">
        <f>部所排名!W29</f>
        <v>0.42799999999999999</v>
      </c>
      <c r="X29" s="17">
        <f>部所排名!X29</f>
        <v>8.7999999999999995E-2</v>
      </c>
      <c r="Y29" s="17">
        <f>部所排名!Y29</f>
        <v>0.376</v>
      </c>
      <c r="Z29" s="17">
        <f>部所排名!Z29</f>
        <v>0.312</v>
      </c>
      <c r="AA29" s="17">
        <f>部所排名!AA29</f>
        <v>0.2</v>
      </c>
      <c r="AB29" s="17">
        <f>部所排名!AB29</f>
        <v>0.33800000000000002</v>
      </c>
      <c r="AC29" s="17">
        <f>部所排名!AC29</f>
        <v>0.36699999999999999</v>
      </c>
      <c r="AD29" s="18">
        <f>部所排名!AD29</f>
        <v>1.6E-2</v>
      </c>
      <c r="AE29" s="150">
        <f>IF($C29="哈尔滨OT所","",VLOOKUP($B29,基础表!$C:$AZ,COLUMN(基础表!AQ$1)-2,0))</f>
        <v>0.47701411015020495</v>
      </c>
      <c r="AF29" s="22">
        <f>IF($C29="哈尔滨OT所","",VLOOKUP($B29,基础表!$C:$AZ,COLUMN(基础表!AR$1)-2,0))</f>
        <v>1</v>
      </c>
      <c r="AG29" s="21">
        <f>IF($C29="哈尔滨OT所","",VLOOKUP($B29,基础表!$C:$AZ,COLUMN(基础表!AS$1)-2,0))</f>
        <v>1</v>
      </c>
      <c r="AH29" s="16">
        <f>部所排名!AE29</f>
        <v>2.2639999999999998</v>
      </c>
      <c r="AI29" s="17">
        <f>部所排名!AF29</f>
        <v>1.5</v>
      </c>
      <c r="AJ29" s="17">
        <f>部所排名!AG29</f>
        <v>-0.76399999999999979</v>
      </c>
      <c r="AK29" s="17">
        <f>VLOOKUP(C29,Sheet1!E:F,2,0)/1000</f>
        <v>1.42879</v>
      </c>
      <c r="AL29" s="20">
        <f t="shared" si="1"/>
        <v>1.04983937457569</v>
      </c>
      <c r="AM29" s="193">
        <f>VLOOKUP(C29,Sheet3!A:D,4,0)</f>
        <v>2.61</v>
      </c>
      <c r="AN29" s="21">
        <f t="shared" si="2"/>
        <v>0.57471264367816099</v>
      </c>
      <c r="AO29" s="8"/>
      <c r="AP29" s="86" t="b">
        <f t="shared" si="3"/>
        <v>1</v>
      </c>
      <c r="AQ29" s="86" t="b">
        <f t="shared" si="0"/>
        <v>1</v>
      </c>
    </row>
    <row r="30" spans="2:43" x14ac:dyDescent="0.2">
      <c r="B30" s="14">
        <v>22</v>
      </c>
      <c r="C30" s="125" t="str">
        <f>部所排名!C30</f>
        <v>大庆城区东所</v>
      </c>
      <c r="D30" s="16">
        <f>部所排名!D30</f>
        <v>0.622</v>
      </c>
      <c r="E30" s="17">
        <f>部所排名!E30</f>
        <v>1.2370000000000001</v>
      </c>
      <c r="F30" s="18">
        <f>部所排名!F30</f>
        <v>0.73099999999999998</v>
      </c>
      <c r="G30" s="19">
        <f>部所排名!G30</f>
        <v>-0.12640449438202239</v>
      </c>
      <c r="H30" s="20">
        <f>部所排名!H30</f>
        <v>1.8945634266886335E-2</v>
      </c>
      <c r="I30" s="21">
        <f>部所排名!I30</f>
        <v>0.23898305084745775</v>
      </c>
      <c r="J30" s="140">
        <f>部所排名!J30</f>
        <v>0.70699999999999996</v>
      </c>
      <c r="K30" s="17">
        <f>部所排名!K30</f>
        <v>1.3260000000000001</v>
      </c>
      <c r="L30" s="20">
        <f>部所排名!L30</f>
        <v>-0.46681749622926094</v>
      </c>
      <c r="M30" s="17">
        <f>部所排名!M30</f>
        <v>1.284</v>
      </c>
      <c r="N30" s="21">
        <f>部所排名!N30</f>
        <v>0.55062305295950198</v>
      </c>
      <c r="O30" s="174">
        <f>部所排名!S30</f>
        <v>0.17538896746817539</v>
      </c>
      <c r="P30" s="20">
        <f>部所排名!Q30</f>
        <v>0.21357850070721357</v>
      </c>
      <c r="Q30" s="20">
        <f>部所排名!O30</f>
        <v>9.0523338048090526E-2</v>
      </c>
      <c r="R30" s="20">
        <f>部所排名!T30</f>
        <v>0.12305516265912306</v>
      </c>
      <c r="S30" s="20">
        <f>部所排名!R30</f>
        <v>0.12729844413012731</v>
      </c>
      <c r="T30" s="20">
        <f>部所排名!U30</f>
        <v>0.12305516265912306</v>
      </c>
      <c r="U30" s="165">
        <f>部所排名!P30</f>
        <v>0.1471004243281471</v>
      </c>
      <c r="V30" s="165">
        <f>部所排名!V30</f>
        <v>0</v>
      </c>
      <c r="W30" s="16">
        <f>部所排名!W30</f>
        <v>6.4000000000000001E-2</v>
      </c>
      <c r="X30" s="17">
        <f>部所排名!X30</f>
        <v>0.104</v>
      </c>
      <c r="Y30" s="17">
        <f>部所排名!Y30</f>
        <v>0.151</v>
      </c>
      <c r="Z30" s="17">
        <f>部所排名!Z30</f>
        <v>0.09</v>
      </c>
      <c r="AA30" s="17">
        <f>部所排名!AA30</f>
        <v>0.124</v>
      </c>
      <c r="AB30" s="17">
        <f>部所排名!AB30</f>
        <v>8.6999999999999994E-2</v>
      </c>
      <c r="AC30" s="17">
        <f>部所排名!AC30</f>
        <v>8.6999999999999994E-2</v>
      </c>
      <c r="AD30" s="18">
        <f>部所排名!AD30</f>
        <v>0</v>
      </c>
      <c r="AE30" s="150">
        <f>IF($C30="哈尔滨OT所","",VLOOKUP($B30,基础表!$C:$AZ,COLUMN(基础表!AQ$1)-2,0))</f>
        <v>0.78856382978723405</v>
      </c>
      <c r="AF30" s="22">
        <f>IF($C30="哈尔滨OT所","",VLOOKUP($B30,基础表!$C:$AZ,COLUMN(基础表!AR$1)-2,0))</f>
        <v>0.939393939393939</v>
      </c>
      <c r="AG30" s="21">
        <f>IF($C30="哈尔滨OT所","",VLOOKUP($B30,基础表!$C:$AZ,COLUMN(基础表!AS$1)-2,0))</f>
        <v>1</v>
      </c>
      <c r="AH30" s="16">
        <f>部所排名!AE30</f>
        <v>0.45</v>
      </c>
      <c r="AI30" s="17">
        <f>部所排名!AF30</f>
        <v>0.42599999999999999</v>
      </c>
      <c r="AJ30" s="184">
        <f>部所排名!AG30</f>
        <v>-2.4000000000000021E-2</v>
      </c>
      <c r="AK30" s="17">
        <f>VLOOKUP(C30,Sheet1!E:F,2,0)/1000</f>
        <v>0.60759600000000002</v>
      </c>
      <c r="AL30" s="20">
        <f t="shared" si="1"/>
        <v>0.70112377303339712</v>
      </c>
      <c r="AM30" s="193">
        <f>VLOOKUP(C30,Sheet3!A:D,4,0)</f>
        <v>1.0920000000000001</v>
      </c>
      <c r="AN30" s="21">
        <f t="shared" si="2"/>
        <v>0.39010989010989006</v>
      </c>
      <c r="AO30" s="8"/>
      <c r="AP30" s="86" t="b">
        <f t="shared" si="3"/>
        <v>1</v>
      </c>
      <c r="AQ30" s="86" t="b">
        <f t="shared" si="0"/>
        <v>1</v>
      </c>
    </row>
    <row r="31" spans="2:43" x14ac:dyDescent="0.2">
      <c r="B31" s="14">
        <v>23</v>
      </c>
      <c r="C31" s="125" t="str">
        <f>部所排名!C31</f>
        <v>绥化外埠所</v>
      </c>
      <c r="D31" s="16">
        <f>部所排名!D31</f>
        <v>1.0820000000000001</v>
      </c>
      <c r="E31" s="17">
        <f>部所排名!E31</f>
        <v>2.234</v>
      </c>
      <c r="F31" s="18">
        <f>部所排名!F31</f>
        <v>1.452</v>
      </c>
      <c r="G31" s="19">
        <f>部所排名!G31</f>
        <v>-5.5021834061135366E-2</v>
      </c>
      <c r="H31" s="20">
        <f>部所排名!H31</f>
        <v>7.6626506024096264E-2</v>
      </c>
      <c r="I31" s="21">
        <f>部所排名!I31</f>
        <v>-0.12106537530266337</v>
      </c>
      <c r="J31" s="140">
        <f>部所排名!J31</f>
        <v>1.262</v>
      </c>
      <c r="K31" s="17">
        <f>部所排名!K31</f>
        <v>2.1640000000000001</v>
      </c>
      <c r="L31" s="20">
        <f>部所排名!L31</f>
        <v>-0.41682070240295754</v>
      </c>
      <c r="M31" s="17">
        <f>部所排名!M31</f>
        <v>2.298</v>
      </c>
      <c r="N31" s="21">
        <f>部所排名!N31</f>
        <v>0.54917319408180998</v>
      </c>
      <c r="O31" s="174">
        <f>部所排名!S31</f>
        <v>0.1347068145800317</v>
      </c>
      <c r="P31" s="20">
        <f>部所排名!Q31</f>
        <v>0.19413629160063392</v>
      </c>
      <c r="Q31" s="20">
        <f>部所排名!O31</f>
        <v>0.12282091917591124</v>
      </c>
      <c r="R31" s="20">
        <f>部所排名!T31</f>
        <v>0.16244057052297939</v>
      </c>
      <c r="S31" s="20">
        <f>部所排名!R31</f>
        <v>0.14025356576862122</v>
      </c>
      <c r="T31" s="20">
        <f>部所排名!U31</f>
        <v>0.11093502377179082</v>
      </c>
      <c r="U31" s="165">
        <f>部所排名!P31</f>
        <v>0.1347068145800317</v>
      </c>
      <c r="V31" s="165">
        <f>部所排名!V31</f>
        <v>0</v>
      </c>
      <c r="W31" s="16">
        <f>部所排名!W31</f>
        <v>0.155</v>
      </c>
      <c r="X31" s="17">
        <f>部所排名!X31</f>
        <v>0.17</v>
      </c>
      <c r="Y31" s="17">
        <f>部所排名!Y31</f>
        <v>0.245</v>
      </c>
      <c r="Z31" s="17">
        <f>部所排名!Z31</f>
        <v>0.17699999999999999</v>
      </c>
      <c r="AA31" s="17">
        <f>部所排名!AA31</f>
        <v>0.17</v>
      </c>
      <c r="AB31" s="17">
        <f>部所排名!AB31</f>
        <v>0.20499999999999999</v>
      </c>
      <c r="AC31" s="17">
        <f>部所排名!AC31</f>
        <v>0.14000000000000001</v>
      </c>
      <c r="AD31" s="18">
        <f>部所排名!AD31</f>
        <v>0</v>
      </c>
      <c r="AE31" s="150">
        <f>IF($C31="哈尔滨OT所","",VLOOKUP($B31,基础表!$C:$AZ,COLUMN(基础表!AQ$1)-2,0))</f>
        <v>0.78830874006810403</v>
      </c>
      <c r="AF31" s="22">
        <f>IF($C31="哈尔滨OT所","",VLOOKUP($B31,基础表!$C:$AZ,COLUMN(基础表!AR$1)-2,0))</f>
        <v>0.95</v>
      </c>
      <c r="AG31" s="21">
        <f>IF($C31="哈尔滨OT所","",VLOOKUP($B31,基础表!$C:$AZ,COLUMN(基础表!AS$1)-2,0))</f>
        <v>1</v>
      </c>
      <c r="AH31" s="16">
        <f>部所排名!AE31</f>
        <v>1.7609999999999999</v>
      </c>
      <c r="AI31" s="17">
        <f>部所排名!AF31</f>
        <v>1.7190000000000001</v>
      </c>
      <c r="AJ31" s="184">
        <f>部所排名!AG31</f>
        <v>-4.1999999999999815E-2</v>
      </c>
      <c r="AK31" s="17">
        <f>VLOOKUP(C31,Sheet1!E:F,2,0)/1000</f>
        <v>1.9239949999999999</v>
      </c>
      <c r="AL31" s="20">
        <f t="shared" si="1"/>
        <v>0.89345346531565839</v>
      </c>
      <c r="AM31" s="193">
        <f>VLOOKUP(C31,Sheet3!A:D,4,0)</f>
        <v>1.8460000000000001</v>
      </c>
      <c r="AN31" s="21">
        <f t="shared" si="2"/>
        <v>0.93120260021668477</v>
      </c>
      <c r="AO31" s="8"/>
      <c r="AP31" s="86" t="b">
        <f t="shared" si="3"/>
        <v>1</v>
      </c>
      <c r="AQ31" s="86" t="b">
        <f t="shared" si="0"/>
        <v>1</v>
      </c>
    </row>
    <row r="32" spans="2:43" x14ac:dyDescent="0.2">
      <c r="B32" s="14">
        <v>24</v>
      </c>
      <c r="C32" s="125" t="str">
        <f>部所排名!C32</f>
        <v>鹤岗城区所</v>
      </c>
      <c r="D32" s="16">
        <f>部所排名!D32</f>
        <v>0.24</v>
      </c>
      <c r="E32" s="17">
        <f>部所排名!E32</f>
        <v>0.64500000000000002</v>
      </c>
      <c r="F32" s="18">
        <f>部所排名!F32</f>
        <v>0.38800000000000001</v>
      </c>
      <c r="G32" s="19">
        <f>部所排名!G32</f>
        <v>-0.323943661971831</v>
      </c>
      <c r="H32" s="20">
        <f>部所排名!H32</f>
        <v>-0.30420711974110037</v>
      </c>
      <c r="I32" s="21">
        <f>部所排名!I32</f>
        <v>-3.7220843672456594E-2</v>
      </c>
      <c r="J32" s="140">
        <f>部所排名!J32</f>
        <v>0.22700000000000001</v>
      </c>
      <c r="K32" s="17">
        <f>部所排名!K32</f>
        <v>0.501</v>
      </c>
      <c r="L32" s="20">
        <f>部所排名!L32</f>
        <v>-0.54690618762475052</v>
      </c>
      <c r="M32" s="17">
        <f>部所排名!M32</f>
        <v>0.496</v>
      </c>
      <c r="N32" s="21">
        <f>部所排名!N32</f>
        <v>0.45766129032258102</v>
      </c>
      <c r="O32" s="174">
        <f>部所排名!S32</f>
        <v>9.2511013215859028E-2</v>
      </c>
      <c r="P32" s="20">
        <f>部所排名!Q32</f>
        <v>5.7268722466960346E-2</v>
      </c>
      <c r="Q32" s="20">
        <f>部所排名!O32</f>
        <v>0.26431718061674009</v>
      </c>
      <c r="R32" s="20">
        <f>部所排名!T32</f>
        <v>0.33039647577092507</v>
      </c>
      <c r="S32" s="20">
        <f>部所排名!R32</f>
        <v>6.6079295154185022E-2</v>
      </c>
      <c r="T32" s="20">
        <f>部所排名!U32</f>
        <v>9.6916299559471356E-2</v>
      </c>
      <c r="U32" s="165">
        <f>部所排名!P32</f>
        <v>9.2511013215859028E-2</v>
      </c>
      <c r="V32" s="165">
        <f>部所排名!V32</f>
        <v>0</v>
      </c>
      <c r="W32" s="16">
        <f>部所排名!W32</f>
        <v>0.06</v>
      </c>
      <c r="X32" s="17">
        <f>部所排名!X32</f>
        <v>2.1000000000000001E-2</v>
      </c>
      <c r="Y32" s="17">
        <f>部所排名!Y32</f>
        <v>1.2999999999999999E-2</v>
      </c>
      <c r="Z32" s="17">
        <f>部所排名!Z32</f>
        <v>1.4999999999999999E-2</v>
      </c>
      <c r="AA32" s="17">
        <f>部所排名!AA32</f>
        <v>2.1000000000000001E-2</v>
      </c>
      <c r="AB32" s="17">
        <f>部所排名!AB32</f>
        <v>7.4999999999999997E-2</v>
      </c>
      <c r="AC32" s="17">
        <f>部所排名!AC32</f>
        <v>2.1999999999999999E-2</v>
      </c>
      <c r="AD32" s="18">
        <f>部所排名!AD32</f>
        <v>0</v>
      </c>
      <c r="AE32" s="150">
        <f>IF($C32="哈尔滨OT所","",VLOOKUP($B32,基础表!$C:$AZ,COLUMN(基础表!AQ$1)-2,0))</f>
        <v>0.59811616954474101</v>
      </c>
      <c r="AF32" s="22">
        <f>IF($C32="哈尔滨OT所","",VLOOKUP($B32,基础表!$C:$AZ,COLUMN(基础表!AR$1)-2,0))</f>
        <v>0.95</v>
      </c>
      <c r="AG32" s="21">
        <f>IF($C32="哈尔滨OT所","",VLOOKUP($B32,基础表!$C:$AZ,COLUMN(基础表!AS$1)-2,0))</f>
        <v>0.95</v>
      </c>
      <c r="AH32" s="16">
        <f>部所排名!AE32</f>
        <v>0.45300000000000001</v>
      </c>
      <c r="AI32" s="17">
        <f>部所排名!AF32</f>
        <v>0.497</v>
      </c>
      <c r="AJ32" s="17">
        <f>部所排名!AG32</f>
        <v>4.3999999999999984E-2</v>
      </c>
      <c r="AK32" s="17">
        <f>VLOOKUP(C32,Sheet1!E:F,2,0)/1000</f>
        <v>0.154</v>
      </c>
      <c r="AL32" s="20">
        <f t="shared" si="1"/>
        <v>3.2272727272727275</v>
      </c>
      <c r="AM32" s="193">
        <f>VLOOKUP(C32,Sheet3!A:D,4,0)</f>
        <v>0.40500000000000003</v>
      </c>
      <c r="AN32" s="21">
        <f t="shared" si="2"/>
        <v>1.2271604938271603</v>
      </c>
      <c r="AO32" s="8"/>
      <c r="AP32" s="86" t="b">
        <f t="shared" ref="AP32" si="4">SUM(O32:V32)=1</f>
        <v>1</v>
      </c>
      <c r="AQ32" s="86" t="b">
        <f t="shared" si="0"/>
        <v>1</v>
      </c>
    </row>
    <row r="33" spans="2:43" x14ac:dyDescent="0.2">
      <c r="B33" s="14">
        <v>25</v>
      </c>
      <c r="C33" s="125" t="str">
        <f>部所排名!C33</f>
        <v>宾县外埠所</v>
      </c>
      <c r="D33" s="16">
        <f>部所排名!D33</f>
        <v>0.86299999999999999</v>
      </c>
      <c r="E33" s="17">
        <f>部所排名!E33</f>
        <v>2.3090000000000002</v>
      </c>
      <c r="F33" s="18">
        <f>部所排名!F33</f>
        <v>1.59</v>
      </c>
      <c r="G33" s="19">
        <f>部所排名!G33</f>
        <v>-0.49825581395348839</v>
      </c>
      <c r="H33" s="20">
        <f>部所排名!H33</f>
        <v>-0.18004261363636354</v>
      </c>
      <c r="I33" s="21">
        <f>部所排名!I33</f>
        <v>-0.16753926701570676</v>
      </c>
      <c r="J33" s="140">
        <f>部所排名!J33</f>
        <v>1.3320000000000001</v>
      </c>
      <c r="K33" s="17">
        <f>部所排名!K33</f>
        <v>2.9169999999999998</v>
      </c>
      <c r="L33" s="20">
        <f>部所排名!L33</f>
        <v>-0.54336647240315394</v>
      </c>
      <c r="M33" s="17">
        <f>部所排名!M33</f>
        <v>3.2709999999999999</v>
      </c>
      <c r="N33" s="21">
        <f>部所排名!N33</f>
        <v>0.40721491898502005</v>
      </c>
      <c r="O33" s="174">
        <f>部所排名!S33</f>
        <v>0.18618618618618618</v>
      </c>
      <c r="P33" s="20">
        <f>部所排名!Q33</f>
        <v>0.20645645645645647</v>
      </c>
      <c r="Q33" s="20">
        <f>部所排名!O33</f>
        <v>0.12012012012012012</v>
      </c>
      <c r="R33" s="20">
        <f>部所排名!T33</f>
        <v>0.11186186186186185</v>
      </c>
      <c r="S33" s="20">
        <f>部所排名!R33</f>
        <v>0.1463963963963964</v>
      </c>
      <c r="T33" s="20">
        <f>部所排名!U33</f>
        <v>8.6336336336336333E-2</v>
      </c>
      <c r="U33" s="165">
        <f>部所排名!P33</f>
        <v>0.14264264264264265</v>
      </c>
      <c r="V33" s="165">
        <f>部所排名!V33</f>
        <v>0</v>
      </c>
      <c r="W33" s="16">
        <f>部所排名!W33</f>
        <v>0.16</v>
      </c>
      <c r="X33" s="17">
        <f>部所排名!X33</f>
        <v>0.19</v>
      </c>
      <c r="Y33" s="17">
        <f>部所排名!Y33</f>
        <v>0.27500000000000002</v>
      </c>
      <c r="Z33" s="17">
        <f>部所排名!Z33</f>
        <v>0.19500000000000001</v>
      </c>
      <c r="AA33" s="17">
        <f>部所排名!AA33</f>
        <v>0.248</v>
      </c>
      <c r="AB33" s="17">
        <f>部所排名!AB33</f>
        <v>0.14899999999999999</v>
      </c>
      <c r="AC33" s="17">
        <f>部所排名!AC33</f>
        <v>0.115</v>
      </c>
      <c r="AD33" s="18">
        <f>部所排名!AD33</f>
        <v>0</v>
      </c>
      <c r="AE33" s="150">
        <f>IF($C33="哈尔滨OT所","",VLOOKUP($B33,基础表!$C:$AZ,COLUMN(基础表!AQ$1)-2,0))</f>
        <v>0.78303850156087407</v>
      </c>
      <c r="AF33" s="22">
        <f>IF($C33="哈尔滨OT所","",VLOOKUP($B33,基础表!$C:$AZ,COLUMN(基础表!AR$1)-2,0))</f>
        <v>0.92857142857142905</v>
      </c>
      <c r="AG33" s="21">
        <f>IF($C33="哈尔滨OT所","",VLOOKUP($B33,基础表!$C:$AZ,COLUMN(基础表!AS$1)-2,0))</f>
        <v>0.97619047619047605</v>
      </c>
      <c r="AH33" s="16">
        <f>部所排名!AE33</f>
        <v>2.286</v>
      </c>
      <c r="AI33" s="17">
        <f>部所排名!AF33</f>
        <v>1.482</v>
      </c>
      <c r="AJ33" s="17">
        <f>部所排名!AG33</f>
        <v>-0.80400000000000005</v>
      </c>
      <c r="AK33" s="17">
        <f>VLOOKUP(C33,Sheet1!E:F,2,0)/1000</f>
        <v>0.74986199999999992</v>
      </c>
      <c r="AL33" s="20">
        <f t="shared" si="1"/>
        <v>1.9763636509117679</v>
      </c>
      <c r="AM33" s="193">
        <f>VLOOKUP(C33,Sheet3!A:D,4,0)</f>
        <v>2.0830000000000002</v>
      </c>
      <c r="AN33" s="21">
        <f t="shared" si="2"/>
        <v>0.71147383581373014</v>
      </c>
      <c r="AO33" s="8"/>
      <c r="AP33" s="86" t="b">
        <f t="shared" si="3"/>
        <v>1</v>
      </c>
      <c r="AQ33" s="86" t="b">
        <f t="shared" si="0"/>
        <v>1</v>
      </c>
    </row>
    <row r="34" spans="2:43" x14ac:dyDescent="0.2">
      <c r="B34" s="23">
        <v>26</v>
      </c>
      <c r="C34" s="126" t="str">
        <f>部所排名!C34</f>
        <v>大庆城区西所</v>
      </c>
      <c r="D34" s="25">
        <f>部所排名!D34</f>
        <v>0.307</v>
      </c>
      <c r="E34" s="26">
        <f>部所排名!E34</f>
        <v>0.63</v>
      </c>
      <c r="F34" s="27">
        <f>部所排名!F34</f>
        <v>0.54600000000000004</v>
      </c>
      <c r="G34" s="28">
        <f>部所排名!G34</f>
        <v>-5.8282208588957052E-2</v>
      </c>
      <c r="H34" s="29">
        <f>部所排名!H34</f>
        <v>3.4482758620689724E-2</v>
      </c>
      <c r="I34" s="30">
        <f>部所排名!I34</f>
        <v>5.4054054054054168E-2</v>
      </c>
      <c r="J34" s="25">
        <f>部所排名!J34</f>
        <v>0.29399999999999998</v>
      </c>
      <c r="K34" s="139">
        <f>部所排名!K34</f>
        <v>0.50900000000000001</v>
      </c>
      <c r="L34" s="29">
        <f>部所排名!L34</f>
        <v>-0.42239685658153248</v>
      </c>
      <c r="M34" s="26">
        <f>部所排名!M34</f>
        <v>0.75600000000000001</v>
      </c>
      <c r="N34" s="30">
        <f>部所排名!N34</f>
        <v>0.38888888888888901</v>
      </c>
      <c r="O34" s="175">
        <f>部所排名!S34</f>
        <v>8.5034013605442188E-2</v>
      </c>
      <c r="P34" s="29">
        <f>部所排名!Q34</f>
        <v>0.19047619047619049</v>
      </c>
      <c r="Q34" s="29">
        <f>部所排名!O34</f>
        <v>0.2142857142857143</v>
      </c>
      <c r="R34" s="29">
        <f>部所排名!T34</f>
        <v>6.1224489795918366E-2</v>
      </c>
      <c r="S34" s="29">
        <f>部所排名!R34</f>
        <v>0.17006802721088438</v>
      </c>
      <c r="T34" s="29">
        <f>部所排名!U34</f>
        <v>0.20748299319727892</v>
      </c>
      <c r="U34" s="166">
        <f>部所排名!P34</f>
        <v>7.1428571428571438E-2</v>
      </c>
      <c r="V34" s="166">
        <f>部所排名!V34</f>
        <v>0</v>
      </c>
      <c r="W34" s="25">
        <f>部所排名!W34</f>
        <v>6.3E-2</v>
      </c>
      <c r="X34" s="26">
        <f>部所排名!X34</f>
        <v>2.1000000000000001E-2</v>
      </c>
      <c r="Y34" s="26">
        <f>部所排名!Y34</f>
        <v>5.6000000000000001E-2</v>
      </c>
      <c r="Z34" s="26">
        <f>部所排名!Z34</f>
        <v>0.05</v>
      </c>
      <c r="AA34" s="26">
        <f>部所排名!AA34</f>
        <v>2.5000000000000001E-2</v>
      </c>
      <c r="AB34" s="26">
        <f>部所排名!AB34</f>
        <v>1.7999999999999999E-2</v>
      </c>
      <c r="AC34" s="26">
        <f>部所排名!AC34</f>
        <v>6.0999999999999999E-2</v>
      </c>
      <c r="AD34" s="27">
        <f>部所排名!AD34</f>
        <v>0</v>
      </c>
      <c r="AE34" s="151">
        <f>IF($C34="哈尔滨OT所","",VLOOKUP($B34,基础表!$C:$AZ,COLUMN(基础表!AQ$1)-2,0))</f>
        <v>0.79582712369597597</v>
      </c>
      <c r="AF34" s="31">
        <f>IF($C34="哈尔滨OT所","",VLOOKUP($B34,基础表!$C:$AZ,COLUMN(基础表!AR$1)-2,0))</f>
        <v>0.91666666666666696</v>
      </c>
      <c r="AG34" s="30">
        <f>IF($C34="哈尔滨OT所","",VLOOKUP($B34,基础表!$C:$AZ,COLUMN(基础表!AS$1)-2,0))</f>
        <v>1</v>
      </c>
      <c r="AH34" s="25">
        <f>部所排名!AE34</f>
        <v>0.42099999999999999</v>
      </c>
      <c r="AI34" s="26">
        <f>部所排名!AF34</f>
        <v>0.39100000000000001</v>
      </c>
      <c r="AJ34" s="185">
        <f>部所排名!AG34</f>
        <v>-2.9999999999999971E-2</v>
      </c>
      <c r="AK34" s="26">
        <f>VLOOKUP(C34,Sheet1!E:F,2,0)/1000</f>
        <v>0.38683200000000001</v>
      </c>
      <c r="AL34" s="29">
        <f t="shared" si="1"/>
        <v>1.0107747032303429</v>
      </c>
      <c r="AM34" s="194">
        <f>VLOOKUP(C34,Sheet3!A:D,4,0)</f>
        <v>0.624</v>
      </c>
      <c r="AN34" s="30">
        <f t="shared" si="2"/>
        <v>0.6266025641025641</v>
      </c>
      <c r="AO34" s="8"/>
      <c r="AP34" s="86" t="b">
        <f t="shared" si="3"/>
        <v>1</v>
      </c>
      <c r="AQ34" s="86" t="b">
        <f t="shared" si="0"/>
        <v>1</v>
      </c>
    </row>
    <row r="35" spans="2:43" x14ac:dyDescent="0.2">
      <c r="C35" s="127"/>
      <c r="AH35" s="97"/>
    </row>
  </sheetData>
  <mergeCells count="12">
    <mergeCell ref="AP2:AQ2"/>
    <mergeCell ref="J2:N2"/>
    <mergeCell ref="B4:C4"/>
    <mergeCell ref="B2:B3"/>
    <mergeCell ref="C2:C3"/>
    <mergeCell ref="D2:F2"/>
    <mergeCell ref="G2:I2"/>
    <mergeCell ref="W2:AD2"/>
    <mergeCell ref="AE2:AE3"/>
    <mergeCell ref="AF2:AG2"/>
    <mergeCell ref="O2:U2"/>
    <mergeCell ref="AH2:AN2"/>
  </mergeCells>
  <phoneticPr fontId="19" type="noConversion"/>
  <conditionalFormatting sqref="G4:I31 L4:L8 G33:I34">
    <cfRule type="cellIs" dxfId="40" priority="32" operator="lessThan">
      <formula>0</formula>
    </cfRule>
  </conditionalFormatting>
  <conditionalFormatting sqref="L9:L31 L33:L34">
    <cfRule type="cellIs" dxfId="39" priority="30" operator="lessThan">
      <formula>0</formula>
    </cfRule>
  </conditionalFormatting>
  <conditionalFormatting sqref="AP4:AQ31 AP33:AQ34">
    <cfRule type="containsText" dxfId="38" priority="18" operator="containsText" text="f">
      <formula>NOT(ISERROR(SEARCH("f",AP4)))</formula>
    </cfRule>
  </conditionalFormatting>
  <conditionalFormatting sqref="AF5:AG31 AF33:AG34">
    <cfRule type="cellIs" dxfId="37" priority="15" operator="lessThan">
      <formula>0.3</formula>
    </cfRule>
  </conditionalFormatting>
  <conditionalFormatting sqref="Q4:Q31 Q33:Q34">
    <cfRule type="cellIs" dxfId="36" priority="14" operator="greaterThanOrEqual">
      <formula>0.15</formula>
    </cfRule>
  </conditionalFormatting>
  <conditionalFormatting sqref="AE5:AE31 AE33:AE34">
    <cfRule type="cellIs" dxfId="35" priority="13" operator="lessThan">
      <formula>$AE$4</formula>
    </cfRule>
  </conditionalFormatting>
  <conditionalFormatting sqref="AJ4:AJ31 AJ33:AJ34">
    <cfRule type="cellIs" dxfId="34" priority="12" operator="lessThan">
      <formula>0</formula>
    </cfRule>
  </conditionalFormatting>
  <conditionalFormatting sqref="N5:N8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I32">
    <cfRule type="cellIs" dxfId="33" priority="11" operator="lessThan">
      <formula>0</formula>
    </cfRule>
  </conditionalFormatting>
  <conditionalFormatting sqref="L32">
    <cfRule type="cellIs" dxfId="32" priority="10" operator="lessThan">
      <formula>0</formula>
    </cfRule>
  </conditionalFormatting>
  <conditionalFormatting sqref="AP32:AQ32">
    <cfRule type="containsText" dxfId="31" priority="8" operator="containsText" text="f">
      <formula>NOT(ISERROR(SEARCH("f",AP32)))</formula>
    </cfRule>
  </conditionalFormatting>
  <conditionalFormatting sqref="AF32:AG32">
    <cfRule type="cellIs" dxfId="30" priority="7" operator="lessThan">
      <formula>0.3</formula>
    </cfRule>
  </conditionalFormatting>
  <conditionalFormatting sqref="Q32">
    <cfRule type="cellIs" dxfId="29" priority="6" operator="greaterThanOrEqual">
      <formula>0.15</formula>
    </cfRule>
  </conditionalFormatting>
  <conditionalFormatting sqref="AE32">
    <cfRule type="cellIs" dxfId="28" priority="5" operator="lessThan">
      <formula>$AE$4</formula>
    </cfRule>
  </conditionalFormatting>
  <conditionalFormatting sqref="AJ32">
    <cfRule type="cellIs" dxfId="27" priority="4" operator="lessThan">
      <formula>0</formula>
    </cfRule>
  </conditionalFormatting>
  <conditionalFormatting sqref="AJ4:AJ34">
    <cfRule type="cellIs" dxfId="26" priority="3" operator="greaterThan">
      <formula>0</formula>
    </cfRule>
  </conditionalFormatting>
  <conditionalFormatting sqref="AF4:AF8 AF10:AF11 AF13:AF34">
    <cfRule type="cellIs" dxfId="25" priority="2" operator="lessThan">
      <formula>0.8</formula>
    </cfRule>
  </conditionalFormatting>
  <conditionalFormatting sqref="N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  <customProperties>
    <customPr name="_pios_id" r:id="rId2"/>
    <customPr name="EpmWorksheetKeyString_GU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35"/>
  <sheetViews>
    <sheetView showGridLines="0" tabSelected="1" zoomScale="85" zoomScaleNormal="85" workbookViewId="0">
      <selection activeCell="B2" sqref="B2:AN34"/>
    </sheetView>
  </sheetViews>
  <sheetFormatPr defaultRowHeight="16.5" outlineLevelCol="1" x14ac:dyDescent="0.2"/>
  <cols>
    <col min="1" max="1" width="3.625" style="3" customWidth="1"/>
    <col min="2" max="2" width="6.125" style="4" customWidth="1"/>
    <col min="3" max="3" width="17.625" style="4" customWidth="1"/>
    <col min="4" max="6" width="9" style="3" hidden="1" customWidth="1" outlineLevel="1"/>
    <col min="7" max="7" width="9" style="3" customWidth="1" collapsed="1"/>
    <col min="8" max="10" width="9" style="3" customWidth="1"/>
    <col min="11" max="11" width="9" style="3" hidden="1" customWidth="1" outlineLevel="1"/>
    <col min="12" max="12" width="9" style="3" customWidth="1" collapsed="1"/>
    <col min="13" max="14" width="9" style="3" customWidth="1"/>
    <col min="15" max="20" width="8.5" style="3" customWidth="1"/>
    <col min="21" max="21" width="9" style="3" customWidth="1"/>
    <col min="22" max="30" width="9" style="3" hidden="1" customWidth="1" outlineLevel="1"/>
    <col min="31" max="31" width="8.5" style="3" customWidth="1" collapsed="1"/>
    <col min="32" max="33" width="8.5" style="3" customWidth="1"/>
    <col min="34" max="38" width="9" style="3" customWidth="1"/>
    <col min="39" max="39" width="9" style="3" hidden="1" customWidth="1" outlineLevel="1"/>
    <col min="40" max="40" width="9" style="3" customWidth="1" collapsed="1"/>
    <col min="41" max="16384" width="9" style="3"/>
  </cols>
  <sheetData>
    <row r="2" spans="2:43" x14ac:dyDescent="0.2">
      <c r="B2" s="196" t="s">
        <v>54</v>
      </c>
      <c r="C2" s="198" t="s">
        <v>59</v>
      </c>
      <c r="D2" s="196" t="s">
        <v>47</v>
      </c>
      <c r="E2" s="197"/>
      <c r="F2" s="198"/>
      <c r="G2" s="196" t="s">
        <v>48</v>
      </c>
      <c r="H2" s="197"/>
      <c r="I2" s="198"/>
      <c r="J2" s="196">
        <f>部所排名!J2</f>
        <v>2505</v>
      </c>
      <c r="K2" s="197"/>
      <c r="L2" s="197"/>
      <c r="M2" s="197"/>
      <c r="N2" s="198"/>
      <c r="O2" s="207" t="s">
        <v>75</v>
      </c>
      <c r="P2" s="205"/>
      <c r="Q2" s="205"/>
      <c r="R2" s="205"/>
      <c r="S2" s="205"/>
      <c r="T2" s="205"/>
      <c r="U2" s="206"/>
      <c r="V2" s="158"/>
      <c r="W2" s="196" t="s">
        <v>74</v>
      </c>
      <c r="X2" s="197"/>
      <c r="Y2" s="197"/>
      <c r="Z2" s="197"/>
      <c r="AA2" s="197"/>
      <c r="AB2" s="197"/>
      <c r="AC2" s="197"/>
      <c r="AD2" s="198"/>
      <c r="AE2" s="203" t="s">
        <v>102</v>
      </c>
      <c r="AF2" s="205" t="s">
        <v>99</v>
      </c>
      <c r="AG2" s="206"/>
      <c r="AH2" s="196" t="s">
        <v>67</v>
      </c>
      <c r="AI2" s="197"/>
      <c r="AJ2" s="197"/>
      <c r="AK2" s="197"/>
      <c r="AL2" s="197"/>
      <c r="AM2" s="208"/>
      <c r="AN2" s="198"/>
      <c r="AP2" s="195" t="s">
        <v>78</v>
      </c>
      <c r="AQ2" s="195"/>
    </row>
    <row r="3" spans="2:43" x14ac:dyDescent="0.2">
      <c r="B3" s="201"/>
      <c r="C3" s="202"/>
      <c r="D3" s="156">
        <f>部所排名!D3</f>
        <v>2502</v>
      </c>
      <c r="E3" s="10">
        <f>部所排名!E3</f>
        <v>2503</v>
      </c>
      <c r="F3" s="157">
        <f>部所排名!F3</f>
        <v>2504</v>
      </c>
      <c r="G3" s="156">
        <f>部所排名!G3</f>
        <v>2502</v>
      </c>
      <c r="H3" s="10">
        <f>部所排名!H3</f>
        <v>2503</v>
      </c>
      <c r="I3" s="157">
        <f>部所排名!I3</f>
        <v>2504</v>
      </c>
      <c r="J3" s="156" t="str">
        <f>部所排名!J3</f>
        <v>出货</v>
      </c>
      <c r="K3" s="10" t="str">
        <f>部所排名!K3</f>
        <v>同期</v>
      </c>
      <c r="L3" s="10" t="str">
        <f>部所排名!L3</f>
        <v>成长</v>
      </c>
      <c r="M3" s="10" t="str">
        <f>部所排名!M3</f>
        <v>目标</v>
      </c>
      <c r="N3" s="157" t="str">
        <f>部所排名!N3</f>
        <v>达成</v>
      </c>
      <c r="O3" s="167" t="str">
        <f>部所排名!S3</f>
        <v>鸡汁味</v>
      </c>
      <c r="P3" s="10" t="str">
        <f>部所排名!Q3</f>
        <v>羊肉串</v>
      </c>
      <c r="Q3" s="10" t="str">
        <f>部所排名!O3</f>
        <v>小酥肉</v>
      </c>
      <c r="R3" s="153" t="str">
        <f>部所排名!T3</f>
        <v>鱿鱼</v>
      </c>
      <c r="S3" s="10" t="str">
        <f>部所排名!R3</f>
        <v>小龙虾</v>
      </c>
      <c r="T3" s="10" t="str">
        <f>部所排名!U3</f>
        <v>番茄</v>
      </c>
      <c r="U3" s="159" t="str">
        <f>部所排名!P3</f>
        <v>原味</v>
      </c>
      <c r="V3" s="159" t="str">
        <f>部所排名!V3</f>
        <v>火鸡</v>
      </c>
      <c r="W3" s="156" t="s">
        <v>66</v>
      </c>
      <c r="X3" s="10" t="s">
        <v>40</v>
      </c>
      <c r="Y3" s="10" t="s">
        <v>41</v>
      </c>
      <c r="Z3" s="10" t="s">
        <v>42</v>
      </c>
      <c r="AA3" s="10" t="s">
        <v>43</v>
      </c>
      <c r="AB3" s="10" t="s">
        <v>44</v>
      </c>
      <c r="AC3" s="10" t="s">
        <v>72</v>
      </c>
      <c r="AD3" s="157" t="s">
        <v>73</v>
      </c>
      <c r="AE3" s="204"/>
      <c r="AF3" s="12" t="s">
        <v>100</v>
      </c>
      <c r="AG3" s="157" t="s">
        <v>101</v>
      </c>
      <c r="AH3" s="75" t="str">
        <f>部所排名!AE3</f>
        <v>4月末</v>
      </c>
      <c r="AI3" s="182" t="str">
        <f>部所排名!AF3</f>
        <v>5月末</v>
      </c>
      <c r="AJ3" s="182" t="str">
        <f>部所排名!AG3</f>
        <v>变化</v>
      </c>
      <c r="AK3" s="182" t="s">
        <v>112</v>
      </c>
      <c r="AL3" s="182" t="s">
        <v>113</v>
      </c>
      <c r="AM3" s="186" t="s">
        <v>115</v>
      </c>
      <c r="AN3" s="76" t="s">
        <v>114</v>
      </c>
      <c r="AP3" s="155" t="s">
        <v>76</v>
      </c>
      <c r="AQ3" s="155" t="s">
        <v>47</v>
      </c>
    </row>
    <row r="4" spans="2:43" s="8" customFormat="1" ht="15" x14ac:dyDescent="0.2">
      <c r="B4" s="199" t="str">
        <f>部所排名!B4</f>
        <v>黑龙江</v>
      </c>
      <c r="C4" s="200"/>
      <c r="D4" s="39">
        <v>24.120999999999999</v>
      </c>
      <c r="E4" s="40">
        <v>43.899000000000001</v>
      </c>
      <c r="F4" s="41">
        <v>32.798999999999999</v>
      </c>
      <c r="G4" s="42">
        <v>-0.11767503109225264</v>
      </c>
      <c r="H4" s="43">
        <v>1.6439371136169001E-2</v>
      </c>
      <c r="I4" s="44">
        <v>-3.489774900691478E-2</v>
      </c>
      <c r="J4" s="39">
        <v>35.893999999999998</v>
      </c>
      <c r="K4" s="40">
        <v>45.45</v>
      </c>
      <c r="L4" s="43">
        <v>-0.21025302530253032</v>
      </c>
      <c r="M4" s="40">
        <v>46.4</v>
      </c>
      <c r="N4" s="44">
        <v>0.77357758620689698</v>
      </c>
      <c r="O4" s="168">
        <v>0.17220148214186215</v>
      </c>
      <c r="P4" s="43">
        <v>0.15907951189613864</v>
      </c>
      <c r="Q4" s="154">
        <v>0.15178024182314595</v>
      </c>
      <c r="R4" s="43">
        <v>0.13927118738507829</v>
      </c>
      <c r="S4" s="43">
        <v>0.11595252688471611</v>
      </c>
      <c r="T4" s="43">
        <v>0.11531175126762135</v>
      </c>
      <c r="U4" s="152">
        <v>0.10388922939767092</v>
      </c>
      <c r="V4" s="152">
        <v>4.2514069203766651E-2</v>
      </c>
      <c r="W4" s="39">
        <v>5.4480000000000004</v>
      </c>
      <c r="X4" s="40">
        <v>3.7290000000000001</v>
      </c>
      <c r="Y4" s="40">
        <v>5.71</v>
      </c>
      <c r="Z4" s="40">
        <v>4.1619999999999999</v>
      </c>
      <c r="AA4" s="40">
        <v>6.181</v>
      </c>
      <c r="AB4" s="40">
        <v>4.9989999999999997</v>
      </c>
      <c r="AC4" s="40">
        <v>4.1390000000000002</v>
      </c>
      <c r="AD4" s="41">
        <v>1.526</v>
      </c>
      <c r="AE4" s="145">
        <v>0.70226258934809493</v>
      </c>
      <c r="AF4" s="42">
        <v>0.91942324003392695</v>
      </c>
      <c r="AG4" s="152">
        <v>0.99406276505513103</v>
      </c>
      <c r="AH4" s="39">
        <v>35.417999999999999</v>
      </c>
      <c r="AI4" s="40">
        <v>33.398499999999999</v>
      </c>
      <c r="AJ4" s="40">
        <v>-2.0195000000000007</v>
      </c>
      <c r="AK4" s="40">
        <v>27.564281999999999</v>
      </c>
      <c r="AL4" s="43">
        <v>1.2116586240120457</v>
      </c>
      <c r="AM4" s="187">
        <v>38</v>
      </c>
      <c r="AN4" s="44">
        <v>0.87890789473684205</v>
      </c>
      <c r="AP4" s="86" t="b">
        <f>SUM(O4:V4)=1</f>
        <v>1</v>
      </c>
      <c r="AQ4" s="86" t="b">
        <f t="shared" ref="AQ4:AQ34" si="0">SUM(W4:AD4)=J4</f>
        <v>1</v>
      </c>
    </row>
    <row r="5" spans="2:43" x14ac:dyDescent="0.2">
      <c r="B5" s="46">
        <v>1</v>
      </c>
      <c r="C5" s="47" t="s">
        <v>35</v>
      </c>
      <c r="D5" s="48">
        <v>0.10299999999999999</v>
      </c>
      <c r="E5" s="49">
        <v>0.11</v>
      </c>
      <c r="F5" s="50">
        <v>0.15</v>
      </c>
      <c r="G5" s="51">
        <v>2.9999999999999805E-2</v>
      </c>
      <c r="H5" s="52">
        <v>9.9999999999999867E-2</v>
      </c>
      <c r="I5" s="53">
        <v>0.49999999999999978</v>
      </c>
      <c r="J5" s="48">
        <v>0.1</v>
      </c>
      <c r="K5" s="49">
        <v>0.17</v>
      </c>
      <c r="L5" s="52">
        <v>-0.41176470588235292</v>
      </c>
      <c r="M5" s="49">
        <v>0.1</v>
      </c>
      <c r="N5" s="53">
        <v>1</v>
      </c>
      <c r="O5" s="169"/>
      <c r="P5" s="52">
        <v>1</v>
      </c>
      <c r="Q5" s="52"/>
      <c r="R5" s="52"/>
      <c r="S5" s="52"/>
      <c r="T5" s="52"/>
      <c r="U5" s="160"/>
      <c r="V5" s="160">
        <v>0</v>
      </c>
      <c r="W5" s="48">
        <v>0</v>
      </c>
      <c r="X5" s="49">
        <v>0</v>
      </c>
      <c r="Y5" s="49">
        <v>0.1</v>
      </c>
      <c r="Z5" s="49">
        <v>0</v>
      </c>
      <c r="AA5" s="49">
        <v>0</v>
      </c>
      <c r="AB5" s="49">
        <v>0</v>
      </c>
      <c r="AC5" s="49">
        <v>0</v>
      </c>
      <c r="AD5" s="50">
        <v>0</v>
      </c>
      <c r="AE5" s="146"/>
      <c r="AF5" s="54"/>
      <c r="AG5" s="53"/>
      <c r="AH5" s="48"/>
      <c r="AI5" s="49"/>
      <c r="AJ5" s="49"/>
      <c r="AK5" s="49"/>
      <c r="AL5" s="52"/>
      <c r="AM5" s="188">
        <v>0.16</v>
      </c>
      <c r="AN5" s="53"/>
      <c r="AO5" s="8"/>
      <c r="AP5" s="86" t="b">
        <f t="shared" ref="AP5:AP34" si="1">SUM(O5:V5)=1</f>
        <v>1</v>
      </c>
      <c r="AQ5" s="86" t="b">
        <f t="shared" si="0"/>
        <v>1</v>
      </c>
    </row>
    <row r="6" spans="2:43" x14ac:dyDescent="0.2">
      <c r="B6" s="55">
        <v>2</v>
      </c>
      <c r="C6" s="56" t="s">
        <v>5</v>
      </c>
      <c r="D6" s="57">
        <v>7.4180000000000001</v>
      </c>
      <c r="E6" s="58">
        <v>13.180999999999999</v>
      </c>
      <c r="F6" s="59">
        <v>9.8710000000000004</v>
      </c>
      <c r="G6" s="60">
        <v>-0.12636909669061358</v>
      </c>
      <c r="H6" s="61">
        <v>8.9068825910931126E-2</v>
      </c>
      <c r="I6" s="62">
        <v>1.6371499176276894E-2</v>
      </c>
      <c r="J6" s="57">
        <v>12.553000000000001</v>
      </c>
      <c r="K6" s="58">
        <v>13.695</v>
      </c>
      <c r="L6" s="61">
        <v>-8.3388097845929154E-2</v>
      </c>
      <c r="M6" s="58">
        <v>15.6</v>
      </c>
      <c r="N6" s="62">
        <v>0.80467948717948701</v>
      </c>
      <c r="O6" s="170">
        <v>0.10626941766908309</v>
      </c>
      <c r="P6" s="61">
        <v>6.8111208476061488E-2</v>
      </c>
      <c r="Q6" s="61">
        <v>0.14426830239783317</v>
      </c>
      <c r="R6" s="61">
        <v>9.3364136063092476E-2</v>
      </c>
      <c r="S6" s="61">
        <v>0.23213574444355931</v>
      </c>
      <c r="T6" s="61">
        <v>0.13311558989882896</v>
      </c>
      <c r="U6" s="161">
        <v>0.10117103481239544</v>
      </c>
      <c r="V6" s="161">
        <v>0.12156456623914602</v>
      </c>
      <c r="W6" s="57">
        <v>1.3340000000000001</v>
      </c>
      <c r="X6" s="58">
        <v>0.85499999999999998</v>
      </c>
      <c r="Y6" s="58">
        <v>1.8109999999999999</v>
      </c>
      <c r="Z6" s="58">
        <v>1.1719999999999999</v>
      </c>
      <c r="AA6" s="58">
        <v>2.9140000000000001</v>
      </c>
      <c r="AB6" s="58">
        <v>1.671</v>
      </c>
      <c r="AC6" s="58">
        <v>1.27</v>
      </c>
      <c r="AD6" s="59">
        <v>1.526</v>
      </c>
      <c r="AE6" s="147">
        <v>0.78062549395958003</v>
      </c>
      <c r="AF6" s="63">
        <v>0.97324414715719099</v>
      </c>
      <c r="AG6" s="62">
        <v>0.98662207357859499</v>
      </c>
      <c r="AH6" s="57">
        <v>5.52</v>
      </c>
      <c r="AI6" s="58">
        <v>4.6609999999999996</v>
      </c>
      <c r="AJ6" s="58">
        <v>-0.85899999999999999</v>
      </c>
      <c r="AK6" s="58">
        <v>4.7476450000000003</v>
      </c>
      <c r="AL6" s="61">
        <v>0.98174989916053101</v>
      </c>
      <c r="AM6" s="189">
        <v>10.533000000000001</v>
      </c>
      <c r="AN6" s="62">
        <f>AI6/AM6</f>
        <v>0.44251400360770904</v>
      </c>
      <c r="AO6" s="8"/>
      <c r="AP6" s="86" t="b">
        <f t="shared" si="1"/>
        <v>1</v>
      </c>
      <c r="AQ6" s="86" t="b">
        <f t="shared" si="0"/>
        <v>1</v>
      </c>
    </row>
    <row r="7" spans="2:43" x14ac:dyDescent="0.2">
      <c r="B7" s="55">
        <v>3</v>
      </c>
      <c r="C7" s="56" t="s">
        <v>28</v>
      </c>
      <c r="D7" s="57">
        <v>5.1020000000000003</v>
      </c>
      <c r="E7" s="58">
        <v>11.263</v>
      </c>
      <c r="F7" s="59">
        <v>8.2739999999999991</v>
      </c>
      <c r="G7" s="60">
        <v>-0.1475355054302423</v>
      </c>
      <c r="H7" s="61">
        <v>-2.0353135600591488E-2</v>
      </c>
      <c r="I7" s="62">
        <v>-6.5823642316811593E-2</v>
      </c>
      <c r="J7" s="57">
        <v>7.4669999999999996</v>
      </c>
      <c r="K7" s="58">
        <v>10.516999999999999</v>
      </c>
      <c r="L7" s="61">
        <v>-0.29000665589046304</v>
      </c>
      <c r="M7" s="58">
        <v>9.8000000000000007</v>
      </c>
      <c r="N7" s="62">
        <v>0.76193877551020406</v>
      </c>
      <c r="O7" s="170">
        <v>0.13847596089460293</v>
      </c>
      <c r="P7" s="61">
        <v>0.17061738315253785</v>
      </c>
      <c r="Q7" s="61">
        <v>0.15575197535824295</v>
      </c>
      <c r="R7" s="61">
        <v>0.13472612829784386</v>
      </c>
      <c r="S7" s="61">
        <v>0.13619927681799918</v>
      </c>
      <c r="T7" s="61">
        <v>0.12963706977367082</v>
      </c>
      <c r="U7" s="161">
        <v>0.13459220570510244</v>
      </c>
      <c r="V7" s="161">
        <v>0</v>
      </c>
      <c r="W7" s="57">
        <v>1.163</v>
      </c>
      <c r="X7" s="58">
        <v>1.0049999999999999</v>
      </c>
      <c r="Y7" s="58">
        <v>1.274</v>
      </c>
      <c r="Z7" s="58">
        <v>1.0169999999999999</v>
      </c>
      <c r="AA7" s="58">
        <v>1.034</v>
      </c>
      <c r="AB7" s="58">
        <v>1.006</v>
      </c>
      <c r="AC7" s="58">
        <v>0.96799999999999997</v>
      </c>
      <c r="AD7" s="59">
        <v>0</v>
      </c>
      <c r="AE7" s="147">
        <v>0.828043315907394</v>
      </c>
      <c r="AF7" s="63">
        <v>0.94315789473684208</v>
      </c>
      <c r="AG7" s="62">
        <v>0.995789473684211</v>
      </c>
      <c r="AH7" s="57">
        <v>9.1720000000000006</v>
      </c>
      <c r="AI7" s="58">
        <v>8.9049999999999994</v>
      </c>
      <c r="AJ7" s="58">
        <v>-0.26700000000000124</v>
      </c>
      <c r="AK7" s="58">
        <v>8.2876720000000006</v>
      </c>
      <c r="AL7" s="61">
        <v>1.0744875038490904</v>
      </c>
      <c r="AM7" s="189">
        <v>7.6</v>
      </c>
      <c r="AN7" s="62">
        <v>1.1717105263157894</v>
      </c>
      <c r="AO7" s="8"/>
      <c r="AP7" s="86" t="b">
        <f t="shared" si="1"/>
        <v>1</v>
      </c>
      <c r="AQ7" s="86" t="b">
        <f t="shared" si="0"/>
        <v>1</v>
      </c>
    </row>
    <row r="8" spans="2:43" x14ac:dyDescent="0.2">
      <c r="B8" s="55">
        <v>4</v>
      </c>
      <c r="C8" s="56" t="s">
        <v>14</v>
      </c>
      <c r="D8" s="57">
        <v>6.7779999999999996</v>
      </c>
      <c r="E8" s="58">
        <v>10.417999999999999</v>
      </c>
      <c r="F8" s="59">
        <v>7.7939999999999996</v>
      </c>
      <c r="G8" s="60">
        <v>-9.9508436296001035E-2</v>
      </c>
      <c r="H8" s="61">
        <v>-2.6718983557548759E-2</v>
      </c>
      <c r="I8" s="62">
        <v>-5.0207165488666772E-2</v>
      </c>
      <c r="J8" s="57">
        <v>7.5140000000000002</v>
      </c>
      <c r="K8" s="58">
        <v>10.028</v>
      </c>
      <c r="L8" s="61">
        <v>-0.25069804547267649</v>
      </c>
      <c r="M8" s="58">
        <v>9.9</v>
      </c>
      <c r="N8" s="62">
        <v>0.75898989898989899</v>
      </c>
      <c r="O8" s="170">
        <v>0.12895927601809953</v>
      </c>
      <c r="P8" s="61">
        <v>0.14599414426404045</v>
      </c>
      <c r="Q8" s="61">
        <v>0.19683257918552036</v>
      </c>
      <c r="R8" s="61">
        <v>0.15597551237689644</v>
      </c>
      <c r="S8" s="61">
        <v>0.11338834176204418</v>
      </c>
      <c r="T8" s="61">
        <v>0.13627894596752729</v>
      </c>
      <c r="U8" s="161">
        <v>0.1225712004258717</v>
      </c>
      <c r="V8" s="161">
        <v>0</v>
      </c>
      <c r="W8" s="57">
        <v>1.4790000000000001</v>
      </c>
      <c r="X8" s="58">
        <v>0.92100000000000004</v>
      </c>
      <c r="Y8" s="58">
        <v>1.097</v>
      </c>
      <c r="Z8" s="58">
        <v>0.85199999999999998</v>
      </c>
      <c r="AA8" s="58">
        <v>0.96899999999999997</v>
      </c>
      <c r="AB8" s="58">
        <v>1.1719999999999999</v>
      </c>
      <c r="AC8" s="58">
        <v>1.024</v>
      </c>
      <c r="AD8" s="59">
        <v>0</v>
      </c>
      <c r="AE8" s="147">
        <v>0.54981441687829702</v>
      </c>
      <c r="AF8" s="63">
        <v>0.82022471910112404</v>
      </c>
      <c r="AG8" s="62">
        <v>0.99625468164793995</v>
      </c>
      <c r="AH8" s="57">
        <v>10.843</v>
      </c>
      <c r="AI8" s="58">
        <v>9.6774999999999984</v>
      </c>
      <c r="AJ8" s="58">
        <v>-1.1655000000000015</v>
      </c>
      <c r="AK8" s="58">
        <v>7.3180550000000002</v>
      </c>
      <c r="AL8" s="61">
        <v>1.322414220718483</v>
      </c>
      <c r="AM8" s="189">
        <v>8</v>
      </c>
      <c r="AN8" s="62">
        <v>1.2096874999999998</v>
      </c>
      <c r="AO8" s="8"/>
      <c r="AP8" s="86" t="b">
        <f t="shared" ref="AP8" si="2">SUM(O8:V8)=1</f>
        <v>1</v>
      </c>
      <c r="AQ8" s="86" t="b">
        <f t="shared" ref="AQ8" si="3">SUM(W8:AD8)=J8</f>
        <v>1</v>
      </c>
    </row>
    <row r="9" spans="2:43" x14ac:dyDescent="0.2">
      <c r="B9" s="64">
        <v>5</v>
      </c>
      <c r="C9" s="65" t="s">
        <v>22</v>
      </c>
      <c r="D9" s="66">
        <v>4.72</v>
      </c>
      <c r="E9" s="67">
        <v>8.9269999999999996</v>
      </c>
      <c r="F9" s="68">
        <v>6.71</v>
      </c>
      <c r="G9" s="69">
        <v>-9.8376313276026806E-2</v>
      </c>
      <c r="H9" s="70">
        <v>1.6163915765509351E-2</v>
      </c>
      <c r="I9" s="71">
        <v>-5.6258790436005679E-2</v>
      </c>
      <c r="J9" s="66">
        <v>8.26</v>
      </c>
      <c r="K9" s="67">
        <v>11.04</v>
      </c>
      <c r="L9" s="70">
        <v>-0.25181159420289856</v>
      </c>
      <c r="M9" s="67">
        <v>11</v>
      </c>
      <c r="N9" s="71">
        <v>0.75090909090909097</v>
      </c>
      <c r="O9" s="171">
        <v>0.15302663438256658</v>
      </c>
      <c r="P9" s="70">
        <v>0.17288135593220338</v>
      </c>
      <c r="Q9" s="70">
        <v>0.17820823244552059</v>
      </c>
      <c r="R9" s="70">
        <v>0.13922518159806294</v>
      </c>
      <c r="S9" s="70">
        <v>0.1357142857142857</v>
      </c>
      <c r="T9" s="70">
        <v>0.10617433414043584</v>
      </c>
      <c r="U9" s="162">
        <v>0.11476997578692494</v>
      </c>
      <c r="V9" s="162">
        <v>0</v>
      </c>
      <c r="W9" s="66">
        <v>1.472</v>
      </c>
      <c r="X9" s="67">
        <v>0.94799999999999995</v>
      </c>
      <c r="Y9" s="67">
        <v>1.4279999999999999</v>
      </c>
      <c r="Z9" s="67">
        <v>1.121</v>
      </c>
      <c r="AA9" s="67">
        <v>1.264</v>
      </c>
      <c r="AB9" s="67">
        <v>1.1499999999999999</v>
      </c>
      <c r="AC9" s="67">
        <v>0.877</v>
      </c>
      <c r="AD9" s="68">
        <v>0</v>
      </c>
      <c r="AE9" s="148">
        <v>0.63737005535304403</v>
      </c>
      <c r="AF9" s="72">
        <v>0.91304347826086996</v>
      </c>
      <c r="AG9" s="71">
        <v>1</v>
      </c>
      <c r="AH9" s="66">
        <v>9.8829999999999991</v>
      </c>
      <c r="AI9" s="67">
        <v>10.154999999999999</v>
      </c>
      <c r="AJ9" s="67">
        <v>0.27200000000000024</v>
      </c>
      <c r="AK9" s="67">
        <v>7.2109100000000002</v>
      </c>
      <c r="AL9" s="70">
        <v>1.4082827271453948</v>
      </c>
      <c r="AM9" s="190">
        <v>9</v>
      </c>
      <c r="AN9" s="71">
        <v>1.1283333333333332</v>
      </c>
      <c r="AO9" s="8"/>
      <c r="AP9" s="86" t="b">
        <f t="shared" si="1"/>
        <v>1</v>
      </c>
      <c r="AQ9" s="86" t="b">
        <f t="shared" si="0"/>
        <v>1</v>
      </c>
    </row>
    <row r="10" spans="2:43" x14ac:dyDescent="0.2">
      <c r="B10" s="128">
        <v>1</v>
      </c>
      <c r="C10" s="129" t="s">
        <v>7</v>
      </c>
      <c r="D10" s="32">
        <v>0.86299999999999999</v>
      </c>
      <c r="E10" s="33">
        <v>2.17</v>
      </c>
      <c r="F10" s="34">
        <v>1.2769999999999999</v>
      </c>
      <c r="G10" s="35">
        <v>-0.49825581395348839</v>
      </c>
      <c r="H10" s="36">
        <v>2.333333333333333</v>
      </c>
      <c r="I10" s="37">
        <v>0.18131359851988904</v>
      </c>
      <c r="J10" s="32">
        <v>4.149</v>
      </c>
      <c r="K10" s="33">
        <v>1.208</v>
      </c>
      <c r="L10" s="36">
        <v>2.4346026490066226</v>
      </c>
      <c r="M10" s="33">
        <v>1.573</v>
      </c>
      <c r="N10" s="37">
        <v>2.6376350921805498</v>
      </c>
      <c r="O10" s="172">
        <v>0.43142926006266569</v>
      </c>
      <c r="P10" s="36">
        <v>7.8573150156664259E-2</v>
      </c>
      <c r="Q10" s="36"/>
      <c r="R10" s="36">
        <v>0.12051096649795132</v>
      </c>
      <c r="S10" s="36"/>
      <c r="T10" s="36"/>
      <c r="U10" s="163">
        <v>5.5435044589057601E-3</v>
      </c>
      <c r="V10" s="163">
        <v>0.36394311882381297</v>
      </c>
      <c r="W10" s="32">
        <v>0</v>
      </c>
      <c r="X10" s="33">
        <v>2.3E-2</v>
      </c>
      <c r="Y10" s="33">
        <v>0.32600000000000001</v>
      </c>
      <c r="Z10" s="33">
        <v>0</v>
      </c>
      <c r="AA10" s="33">
        <v>1.79</v>
      </c>
      <c r="AB10" s="33">
        <v>0.5</v>
      </c>
      <c r="AC10" s="33">
        <v>0</v>
      </c>
      <c r="AD10" s="34">
        <v>1.51</v>
      </c>
      <c r="AE10" s="149" t="s">
        <v>85</v>
      </c>
      <c r="AF10" s="38" t="s">
        <v>85</v>
      </c>
      <c r="AG10" s="37" t="s">
        <v>85</v>
      </c>
      <c r="AH10" s="32"/>
      <c r="AI10" s="33"/>
      <c r="AJ10" s="33"/>
      <c r="AK10" s="33"/>
      <c r="AL10" s="36"/>
      <c r="AM10" s="191">
        <v>2.7069999999999999</v>
      </c>
      <c r="AN10" s="37"/>
      <c r="AO10" s="8"/>
      <c r="AP10" s="86" t="b">
        <f t="shared" si="1"/>
        <v>1</v>
      </c>
      <c r="AQ10" s="86" t="b">
        <f t="shared" si="0"/>
        <v>1</v>
      </c>
    </row>
    <row r="11" spans="2:43" x14ac:dyDescent="0.2">
      <c r="B11" s="130">
        <v>2</v>
      </c>
      <c r="C11" s="125" t="s">
        <v>31</v>
      </c>
      <c r="D11" s="131">
        <v>1.004</v>
      </c>
      <c r="E11" s="132">
        <v>2.5910000000000002</v>
      </c>
      <c r="F11" s="133">
        <v>2.58</v>
      </c>
      <c r="G11" s="134">
        <v>-0.14698385726423113</v>
      </c>
      <c r="H11" s="135">
        <v>-3.4649776453055114E-2</v>
      </c>
      <c r="I11" s="136">
        <v>-0.13509889373114314</v>
      </c>
      <c r="J11" s="131">
        <v>2.0710000000000002</v>
      </c>
      <c r="K11" s="132">
        <v>2.34</v>
      </c>
      <c r="L11" s="137">
        <v>-0.11495726495726488</v>
      </c>
      <c r="M11" s="132">
        <v>1.8680000000000001</v>
      </c>
      <c r="N11" s="136">
        <v>1.1086723768736599</v>
      </c>
      <c r="O11" s="173">
        <v>0.14002897151134716</v>
      </c>
      <c r="P11" s="135">
        <v>0.14292612264606469</v>
      </c>
      <c r="Q11" s="135">
        <v>0.17141477547078704</v>
      </c>
      <c r="R11" s="135">
        <v>0.1521004345726702</v>
      </c>
      <c r="S11" s="135">
        <v>0.1183003380009657</v>
      </c>
      <c r="T11" s="135">
        <v>0.14968614196040558</v>
      </c>
      <c r="U11" s="164">
        <v>0.12554321583775954</v>
      </c>
      <c r="V11" s="164">
        <v>0</v>
      </c>
      <c r="W11" s="131">
        <v>0.35499999999999998</v>
      </c>
      <c r="X11" s="132">
        <v>0.26</v>
      </c>
      <c r="Y11" s="132">
        <v>0.29599999999999999</v>
      </c>
      <c r="Z11" s="132">
        <v>0.245</v>
      </c>
      <c r="AA11" s="132">
        <v>0.28999999999999998</v>
      </c>
      <c r="AB11" s="132">
        <v>0.315</v>
      </c>
      <c r="AC11" s="132">
        <v>0.31</v>
      </c>
      <c r="AD11" s="133">
        <v>0</v>
      </c>
      <c r="AE11" s="150">
        <v>0.86951631046119204</v>
      </c>
      <c r="AF11" s="22">
        <v>0.93333333333333302</v>
      </c>
      <c r="AG11" s="21">
        <v>1</v>
      </c>
      <c r="AH11" s="131">
        <v>2.4239999999999999</v>
      </c>
      <c r="AI11" s="132">
        <v>2.35</v>
      </c>
      <c r="AJ11" s="132">
        <v>-7.3999999999999844E-2</v>
      </c>
      <c r="AK11" s="132">
        <v>2.5570680000000001</v>
      </c>
      <c r="AL11" s="135">
        <v>0.9190213166016703</v>
      </c>
      <c r="AM11" s="192">
        <v>1.284</v>
      </c>
      <c r="AN11" s="136">
        <v>1.8302180685358256</v>
      </c>
      <c r="AO11" s="8"/>
      <c r="AP11" s="86" t="b">
        <f t="shared" si="1"/>
        <v>1</v>
      </c>
      <c r="AQ11" s="86" t="b">
        <f t="shared" si="0"/>
        <v>1</v>
      </c>
    </row>
    <row r="12" spans="2:43" x14ac:dyDescent="0.2">
      <c r="B12" s="130">
        <v>3</v>
      </c>
      <c r="C12" s="125" t="s">
        <v>32</v>
      </c>
      <c r="D12" s="131">
        <v>0.86899999999999999</v>
      </c>
      <c r="E12" s="132">
        <v>1.8839999999999999</v>
      </c>
      <c r="F12" s="133">
        <v>1.262</v>
      </c>
      <c r="G12" s="134">
        <v>-0.14215202369200386</v>
      </c>
      <c r="H12" s="135">
        <v>1.6729627630868826E-2</v>
      </c>
      <c r="I12" s="136">
        <v>0.12078152753108351</v>
      </c>
      <c r="J12" s="131">
        <v>1.55</v>
      </c>
      <c r="K12" s="132">
        <v>2.0550000000000002</v>
      </c>
      <c r="L12" s="137">
        <v>-0.24574209245742096</v>
      </c>
      <c r="M12" s="132">
        <v>1.512</v>
      </c>
      <c r="N12" s="136">
        <v>1.02513227513228</v>
      </c>
      <c r="O12" s="173">
        <v>0.13548387096774192</v>
      </c>
      <c r="P12" s="135">
        <v>0.15161290322580645</v>
      </c>
      <c r="Q12" s="135">
        <v>0.14838709677419354</v>
      </c>
      <c r="R12" s="135">
        <v>0.13548387096774192</v>
      </c>
      <c r="S12" s="135">
        <v>0.14516129032258066</v>
      </c>
      <c r="T12" s="135">
        <v>0.13225806451612901</v>
      </c>
      <c r="U12" s="164">
        <v>0.15161290322580645</v>
      </c>
      <c r="V12" s="164">
        <v>0</v>
      </c>
      <c r="W12" s="131">
        <v>0.23</v>
      </c>
      <c r="X12" s="132">
        <v>0.23499999999999999</v>
      </c>
      <c r="Y12" s="132">
        <v>0.23499999999999999</v>
      </c>
      <c r="Z12" s="132">
        <v>0.22500000000000001</v>
      </c>
      <c r="AA12" s="132">
        <v>0.21</v>
      </c>
      <c r="AB12" s="132">
        <v>0.21</v>
      </c>
      <c r="AC12" s="132">
        <v>0.20499999999999999</v>
      </c>
      <c r="AD12" s="133">
        <v>0</v>
      </c>
      <c r="AE12" s="150">
        <v>0.77693089430894302</v>
      </c>
      <c r="AF12" s="22">
        <v>0.93023255813953498</v>
      </c>
      <c r="AG12" s="21">
        <v>1</v>
      </c>
      <c r="AH12" s="131">
        <v>1.677</v>
      </c>
      <c r="AI12" s="132">
        <v>1.6479999999999999</v>
      </c>
      <c r="AJ12" s="183">
        <v>-2.9000000000000137E-2</v>
      </c>
      <c r="AK12" s="132">
        <v>1.506778</v>
      </c>
      <c r="AL12" s="135">
        <v>1.0937244902699668</v>
      </c>
      <c r="AM12" s="192">
        <v>0.99399999999999999</v>
      </c>
      <c r="AN12" s="136">
        <v>1.6579476861167002</v>
      </c>
      <c r="AO12" s="8"/>
      <c r="AP12" s="86" t="b">
        <f t="shared" si="1"/>
        <v>1</v>
      </c>
      <c r="AQ12" s="86" t="b">
        <f t="shared" si="0"/>
        <v>1</v>
      </c>
    </row>
    <row r="13" spans="2:43" x14ac:dyDescent="0.2">
      <c r="B13" s="130">
        <v>4</v>
      </c>
      <c r="C13" s="125" t="s">
        <v>20</v>
      </c>
      <c r="D13" s="131">
        <v>0.39100000000000001</v>
      </c>
      <c r="E13" s="132">
        <v>0.52500000000000002</v>
      </c>
      <c r="F13" s="133">
        <v>0.379</v>
      </c>
      <c r="G13" s="134">
        <v>-0.34285714285714275</v>
      </c>
      <c r="H13" s="135">
        <v>-0.3027888446215139</v>
      </c>
      <c r="I13" s="136">
        <v>-4.7738693467336724E-2</v>
      </c>
      <c r="J13" s="131">
        <v>0.44400000000000001</v>
      </c>
      <c r="K13" s="132">
        <v>0.51100000000000001</v>
      </c>
      <c r="L13" s="135">
        <v>-0.13111545988258322</v>
      </c>
      <c r="M13" s="132">
        <v>0.51600000000000001</v>
      </c>
      <c r="N13" s="136">
        <v>0.86046511627906996</v>
      </c>
      <c r="O13" s="173">
        <v>0.13513513513513511</v>
      </c>
      <c r="P13" s="135">
        <v>7.8828828828828829E-2</v>
      </c>
      <c r="Q13" s="135">
        <v>0.25</v>
      </c>
      <c r="R13" s="135">
        <v>0.15090090090090091</v>
      </c>
      <c r="S13" s="135">
        <v>0.16891891891891891</v>
      </c>
      <c r="T13" s="135">
        <v>6.9819819819819814E-2</v>
      </c>
      <c r="U13" s="164">
        <v>0.1463963963963964</v>
      </c>
      <c r="V13" s="164">
        <v>0</v>
      </c>
      <c r="W13" s="131">
        <v>0.111</v>
      </c>
      <c r="X13" s="132">
        <v>6.5000000000000002E-2</v>
      </c>
      <c r="Y13" s="132">
        <v>3.5000000000000003E-2</v>
      </c>
      <c r="Z13" s="132">
        <v>7.4999999999999997E-2</v>
      </c>
      <c r="AA13" s="132">
        <v>0.06</v>
      </c>
      <c r="AB13" s="132">
        <v>6.7000000000000004E-2</v>
      </c>
      <c r="AC13" s="132">
        <v>3.1E-2</v>
      </c>
      <c r="AD13" s="133">
        <v>0</v>
      </c>
      <c r="AE13" s="150">
        <v>0.53377265238879701</v>
      </c>
      <c r="AF13" s="22">
        <v>0.90625</v>
      </c>
      <c r="AG13" s="21">
        <v>1</v>
      </c>
      <c r="AH13" s="131">
        <v>0.46800000000000003</v>
      </c>
      <c r="AI13" s="132">
        <v>0.41799999999999998</v>
      </c>
      <c r="AJ13" s="132">
        <v>-5.0000000000000044E-2</v>
      </c>
      <c r="AK13" s="132">
        <v>0.37126399999999998</v>
      </c>
      <c r="AL13" s="135">
        <v>1.125883468367523</v>
      </c>
      <c r="AM13" s="192">
        <v>0.42199999999999999</v>
      </c>
      <c r="AN13" s="136">
        <v>0.99052132701421802</v>
      </c>
      <c r="AO13" s="8"/>
      <c r="AP13" s="86" t="b">
        <f t="shared" si="1"/>
        <v>1</v>
      </c>
      <c r="AQ13" s="86" t="b">
        <f t="shared" si="0"/>
        <v>1</v>
      </c>
    </row>
    <row r="14" spans="2:43" x14ac:dyDescent="0.2">
      <c r="B14" s="130">
        <v>5</v>
      </c>
      <c r="C14" s="125" t="s">
        <v>19</v>
      </c>
      <c r="D14" s="131">
        <v>1.9</v>
      </c>
      <c r="E14" s="132">
        <v>2.6869999999999998</v>
      </c>
      <c r="F14" s="133">
        <v>1.742</v>
      </c>
      <c r="G14" s="134">
        <v>-3.8947900859888862E-2</v>
      </c>
      <c r="H14" s="135">
        <v>2.7140672782874464E-2</v>
      </c>
      <c r="I14" s="136">
        <v>6.9364161849712058E-3</v>
      </c>
      <c r="J14" s="131">
        <v>2.226</v>
      </c>
      <c r="K14" s="132">
        <v>2.7389999999999999</v>
      </c>
      <c r="L14" s="135">
        <v>-0.18729463307776562</v>
      </c>
      <c r="M14" s="132">
        <v>2.5880000000000001</v>
      </c>
      <c r="N14" s="136">
        <v>0.86012364760432802</v>
      </c>
      <c r="O14" s="173">
        <v>0.14061096136567836</v>
      </c>
      <c r="P14" s="135">
        <v>0.1725067385444744</v>
      </c>
      <c r="Q14" s="135">
        <v>0.19811320754716982</v>
      </c>
      <c r="R14" s="135">
        <v>0.11635220125786164</v>
      </c>
      <c r="S14" s="135">
        <v>0.11904761904761905</v>
      </c>
      <c r="T14" s="135">
        <v>0.11051212938005391</v>
      </c>
      <c r="U14" s="164">
        <v>0.14285714285714285</v>
      </c>
      <c r="V14" s="164">
        <v>0</v>
      </c>
      <c r="W14" s="131">
        <v>0.441</v>
      </c>
      <c r="X14" s="132">
        <v>0.318</v>
      </c>
      <c r="Y14" s="132">
        <v>0.38400000000000001</v>
      </c>
      <c r="Z14" s="132">
        <v>0.26500000000000001</v>
      </c>
      <c r="AA14" s="132">
        <v>0.313</v>
      </c>
      <c r="AB14" s="132">
        <v>0.25900000000000001</v>
      </c>
      <c r="AC14" s="132">
        <v>0.246</v>
      </c>
      <c r="AD14" s="133">
        <v>0</v>
      </c>
      <c r="AE14" s="150">
        <v>0.46156893819334399</v>
      </c>
      <c r="AF14" s="22">
        <v>0.71875</v>
      </c>
      <c r="AG14" s="21">
        <v>1</v>
      </c>
      <c r="AH14" s="131">
        <v>2.8140000000000001</v>
      </c>
      <c r="AI14" s="132">
        <v>2.4009999999999998</v>
      </c>
      <c r="AJ14" s="132">
        <v>-0.41300000000000026</v>
      </c>
      <c r="AK14" s="132">
        <v>2.3107139999999999</v>
      </c>
      <c r="AL14" s="135">
        <v>1.0390727714464014</v>
      </c>
      <c r="AM14" s="192">
        <v>2.0619999999999998</v>
      </c>
      <c r="AN14" s="136">
        <v>1.164403491755577</v>
      </c>
      <c r="AO14" s="8"/>
      <c r="AP14" s="86" t="b">
        <f t="shared" si="1"/>
        <v>1</v>
      </c>
      <c r="AQ14" s="86" t="b">
        <f t="shared" si="0"/>
        <v>1</v>
      </c>
    </row>
    <row r="15" spans="2:43" x14ac:dyDescent="0.2">
      <c r="B15" s="130">
        <v>6</v>
      </c>
      <c r="C15" s="125" t="s">
        <v>18</v>
      </c>
      <c r="D15" s="131">
        <v>1.6</v>
      </c>
      <c r="E15" s="132">
        <v>2.0699999999999998</v>
      </c>
      <c r="F15" s="133">
        <v>1.736</v>
      </c>
      <c r="G15" s="134">
        <v>-5.0445103857566731E-2</v>
      </c>
      <c r="H15" s="135">
        <v>-1.8957345971563955E-2</v>
      </c>
      <c r="I15" s="136">
        <v>-4.8245614035087758E-2</v>
      </c>
      <c r="J15" s="131">
        <v>1.776</v>
      </c>
      <c r="K15" s="132">
        <v>2.2919999999999998</v>
      </c>
      <c r="L15" s="135">
        <v>-0.22513089005235598</v>
      </c>
      <c r="M15" s="132">
        <v>2.0659999999999998</v>
      </c>
      <c r="N15" s="136">
        <v>0.85963213939980609</v>
      </c>
      <c r="O15" s="173">
        <v>0.13626126126126126</v>
      </c>
      <c r="P15" s="135">
        <v>0.16722972972972971</v>
      </c>
      <c r="Q15" s="135">
        <v>0.12105855855855856</v>
      </c>
      <c r="R15" s="135">
        <v>0.15371621621621623</v>
      </c>
      <c r="S15" s="135">
        <v>0.14301801801801803</v>
      </c>
      <c r="T15" s="135">
        <v>0.14977477477477477</v>
      </c>
      <c r="U15" s="164">
        <v>0.12894144144144146</v>
      </c>
      <c r="V15" s="164">
        <v>0</v>
      </c>
      <c r="W15" s="131">
        <v>0.215</v>
      </c>
      <c r="X15" s="132">
        <v>0.22900000000000001</v>
      </c>
      <c r="Y15" s="132">
        <v>0.29699999999999999</v>
      </c>
      <c r="Z15" s="132">
        <v>0.254</v>
      </c>
      <c r="AA15" s="132">
        <v>0.24199999999999999</v>
      </c>
      <c r="AB15" s="132">
        <v>0.27300000000000002</v>
      </c>
      <c r="AC15" s="132">
        <v>0.26600000000000001</v>
      </c>
      <c r="AD15" s="133">
        <v>0</v>
      </c>
      <c r="AE15" s="150">
        <v>0.77192141830378502</v>
      </c>
      <c r="AF15" s="22">
        <v>0.90163934426229497</v>
      </c>
      <c r="AG15" s="21">
        <v>1</v>
      </c>
      <c r="AH15" s="131">
        <v>1.488</v>
      </c>
      <c r="AI15" s="132">
        <v>1.4384999999999999</v>
      </c>
      <c r="AJ15" s="183">
        <v>-4.9500000000000099E-2</v>
      </c>
      <c r="AK15" s="132">
        <v>1.8028810000000002</v>
      </c>
      <c r="AL15" s="135">
        <v>0.79788960003461118</v>
      </c>
      <c r="AM15" s="192">
        <v>1.6739999999999999</v>
      </c>
      <c r="AN15" s="136">
        <v>0.85931899641577059</v>
      </c>
      <c r="AO15" s="8"/>
      <c r="AP15" s="86" t="b">
        <f t="shared" si="1"/>
        <v>1</v>
      </c>
      <c r="AQ15" s="86" t="b">
        <f t="shared" si="0"/>
        <v>1</v>
      </c>
    </row>
    <row r="16" spans="2:43" x14ac:dyDescent="0.2">
      <c r="B16" s="130">
        <v>7</v>
      </c>
      <c r="C16" s="125" t="s">
        <v>8</v>
      </c>
      <c r="D16" s="131">
        <v>0.753</v>
      </c>
      <c r="E16" s="132">
        <v>1.597</v>
      </c>
      <c r="F16" s="133">
        <v>1.272</v>
      </c>
      <c r="G16" s="134">
        <v>-0.34235807860262013</v>
      </c>
      <c r="H16" s="135">
        <v>5.0346129641283266E-3</v>
      </c>
      <c r="I16" s="136">
        <v>0.17019319227230922</v>
      </c>
      <c r="J16" s="131">
        <v>1.5369999999999999</v>
      </c>
      <c r="K16" s="132">
        <v>1.597</v>
      </c>
      <c r="L16" s="135">
        <v>-3.7570444583594265E-2</v>
      </c>
      <c r="M16" s="132">
        <v>1.8879999999999999</v>
      </c>
      <c r="N16" s="136">
        <v>0.81408898305084709</v>
      </c>
      <c r="O16" s="173">
        <v>0.13728041639557581</v>
      </c>
      <c r="P16" s="135">
        <v>0.15289525048796357</v>
      </c>
      <c r="Q16" s="135">
        <v>0.12426805465191933</v>
      </c>
      <c r="R16" s="135">
        <v>0.13662979830839297</v>
      </c>
      <c r="S16" s="135">
        <v>0.13728041639557581</v>
      </c>
      <c r="T16" s="135">
        <v>0.20689655172413796</v>
      </c>
      <c r="U16" s="164">
        <v>0.10474951203643462</v>
      </c>
      <c r="V16" s="164">
        <v>0</v>
      </c>
      <c r="W16" s="131">
        <v>0.191</v>
      </c>
      <c r="X16" s="132">
        <v>0.161</v>
      </c>
      <c r="Y16" s="132">
        <v>0.23499999999999999</v>
      </c>
      <c r="Z16" s="132">
        <v>0.21099999999999999</v>
      </c>
      <c r="AA16" s="132">
        <v>0.21099999999999999</v>
      </c>
      <c r="AB16" s="132">
        <v>0.21</v>
      </c>
      <c r="AC16" s="132">
        <v>0.318</v>
      </c>
      <c r="AD16" s="133">
        <v>0</v>
      </c>
      <c r="AE16" s="150">
        <v>0.89433384379785597</v>
      </c>
      <c r="AF16" s="22">
        <v>0.96240601503759393</v>
      </c>
      <c r="AG16" s="21">
        <v>0.97744360902255589</v>
      </c>
      <c r="AH16" s="131">
        <v>0.375</v>
      </c>
      <c r="AI16" s="132">
        <v>0.52300000000000002</v>
      </c>
      <c r="AJ16" s="132">
        <v>0.14800000000000002</v>
      </c>
      <c r="AK16" s="132">
        <v>0.87229299999999999</v>
      </c>
      <c r="AL16" s="135">
        <v>0.59956918145623095</v>
      </c>
      <c r="AM16" s="192">
        <v>1.538</v>
      </c>
      <c r="AN16" s="136">
        <v>0.3400520156046814</v>
      </c>
      <c r="AO16" s="8"/>
      <c r="AP16" s="86" t="b">
        <f t="shared" si="1"/>
        <v>1</v>
      </c>
      <c r="AQ16" s="86" t="b">
        <f t="shared" si="0"/>
        <v>1</v>
      </c>
    </row>
    <row r="17" spans="2:43" x14ac:dyDescent="0.2">
      <c r="B17" s="130">
        <v>8</v>
      </c>
      <c r="C17" s="125" t="s">
        <v>27</v>
      </c>
      <c r="D17" s="131">
        <v>1.3540000000000001</v>
      </c>
      <c r="E17" s="132">
        <v>2.59</v>
      </c>
      <c r="F17" s="133">
        <v>1.895</v>
      </c>
      <c r="G17" s="134">
        <v>-0.11154855643044614</v>
      </c>
      <c r="H17" s="135">
        <v>1.1596443757246888E-3</v>
      </c>
      <c r="I17" s="136">
        <v>-0.17608695652173911</v>
      </c>
      <c r="J17" s="131">
        <v>2.5390000000000001</v>
      </c>
      <c r="K17" s="132">
        <v>3.12</v>
      </c>
      <c r="L17" s="135">
        <v>-0.18621794871794872</v>
      </c>
      <c r="M17" s="132">
        <v>3.1509999999999998</v>
      </c>
      <c r="N17" s="136">
        <v>0.80577594414471609</v>
      </c>
      <c r="O17" s="173">
        <v>0.16266246553761321</v>
      </c>
      <c r="P17" s="135">
        <v>0.1851122489168964</v>
      </c>
      <c r="Q17" s="135">
        <v>0.17920441118550609</v>
      </c>
      <c r="R17" s="135">
        <v>0.14572666404096099</v>
      </c>
      <c r="S17" s="135">
        <v>0.1378495470657739</v>
      </c>
      <c r="T17" s="135">
        <v>4.9625836943678614E-2</v>
      </c>
      <c r="U17" s="164">
        <v>0.13981882630957068</v>
      </c>
      <c r="V17" s="164">
        <v>0</v>
      </c>
      <c r="W17" s="131">
        <v>0.45500000000000002</v>
      </c>
      <c r="X17" s="132">
        <v>0.35499999999999998</v>
      </c>
      <c r="Y17" s="132">
        <v>0.47</v>
      </c>
      <c r="Z17" s="132">
        <v>0.35</v>
      </c>
      <c r="AA17" s="132">
        <v>0.41299999999999998</v>
      </c>
      <c r="AB17" s="132">
        <v>0.37</v>
      </c>
      <c r="AC17" s="132">
        <v>0.126</v>
      </c>
      <c r="AD17" s="133">
        <v>0</v>
      </c>
      <c r="AE17" s="150">
        <v>0.67928286852589592</v>
      </c>
      <c r="AF17" s="22">
        <v>1</v>
      </c>
      <c r="AG17" s="21">
        <v>1</v>
      </c>
      <c r="AH17" s="131">
        <v>3.6070000000000002</v>
      </c>
      <c r="AI17" s="132">
        <v>3.4049999999999998</v>
      </c>
      <c r="AJ17" s="132">
        <v>-0.2020000000000004</v>
      </c>
      <c r="AK17" s="132">
        <v>2.5783330000000002</v>
      </c>
      <c r="AL17" s="135">
        <v>1.3206207266477989</v>
      </c>
      <c r="AM17" s="192">
        <v>2.5009999999999999</v>
      </c>
      <c r="AN17" s="136">
        <v>1.3614554178328668</v>
      </c>
      <c r="AO17" s="8"/>
      <c r="AP17" s="86" t="b">
        <f t="shared" si="1"/>
        <v>1</v>
      </c>
      <c r="AQ17" s="86" t="b">
        <f t="shared" si="0"/>
        <v>1</v>
      </c>
    </row>
    <row r="18" spans="2:43" x14ac:dyDescent="0.2">
      <c r="B18" s="130">
        <v>9</v>
      </c>
      <c r="C18" s="15" t="s">
        <v>26</v>
      </c>
      <c r="D18" s="16">
        <v>0.51200000000000001</v>
      </c>
      <c r="E18" s="17">
        <v>1.0089999999999999</v>
      </c>
      <c r="F18" s="18">
        <v>0.70599999999999996</v>
      </c>
      <c r="G18" s="19">
        <v>-0.11111111111111105</v>
      </c>
      <c r="H18" s="20">
        <v>2.9591836734693899E-2</v>
      </c>
      <c r="I18" s="21">
        <v>0.88770053475935828</v>
      </c>
      <c r="J18" s="16">
        <v>0.89400000000000002</v>
      </c>
      <c r="K18" s="17">
        <v>1.391</v>
      </c>
      <c r="L18" s="20">
        <v>-0.35729690869877784</v>
      </c>
      <c r="M18" s="17">
        <v>1.161</v>
      </c>
      <c r="N18" s="21">
        <v>0.77002583979328199</v>
      </c>
      <c r="O18" s="174">
        <v>0.13422818791946309</v>
      </c>
      <c r="P18" s="20">
        <v>0.18232662192393737</v>
      </c>
      <c r="Q18" s="20">
        <v>0.17897091722595079</v>
      </c>
      <c r="R18" s="20">
        <v>0.16554809843400448</v>
      </c>
      <c r="S18" s="20">
        <v>0.1476510067114094</v>
      </c>
      <c r="T18" s="20">
        <v>8.9485458612975396E-2</v>
      </c>
      <c r="U18" s="165">
        <v>0.1017897091722595</v>
      </c>
      <c r="V18" s="165">
        <v>0</v>
      </c>
      <c r="W18" s="16">
        <v>0.16</v>
      </c>
      <c r="X18" s="17">
        <v>9.0999999999999998E-2</v>
      </c>
      <c r="Y18" s="17">
        <v>0.16300000000000001</v>
      </c>
      <c r="Z18" s="17">
        <v>0.13200000000000001</v>
      </c>
      <c r="AA18" s="17">
        <v>0.12</v>
      </c>
      <c r="AB18" s="17">
        <v>0.14799999999999999</v>
      </c>
      <c r="AC18" s="17">
        <v>0.08</v>
      </c>
      <c r="AD18" s="18">
        <v>0</v>
      </c>
      <c r="AE18" s="150">
        <v>0.59488692232055096</v>
      </c>
      <c r="AF18" s="22">
        <v>0.93421052631578905</v>
      </c>
      <c r="AG18" s="21">
        <v>1</v>
      </c>
      <c r="AH18" s="16">
        <v>0.63200000000000001</v>
      </c>
      <c r="AI18" s="17">
        <v>0.91</v>
      </c>
      <c r="AJ18" s="17">
        <v>0.27800000000000002</v>
      </c>
      <c r="AK18" s="17">
        <v>0.72560000000000002</v>
      </c>
      <c r="AL18" s="20">
        <v>1.2541345093715546</v>
      </c>
      <c r="AM18" s="193">
        <v>0.96399999999999997</v>
      </c>
      <c r="AN18" s="21">
        <v>0.94398340248962664</v>
      </c>
      <c r="AO18" s="8"/>
      <c r="AP18" s="86" t="b">
        <f t="shared" si="1"/>
        <v>1</v>
      </c>
      <c r="AQ18" s="86" t="b">
        <f t="shared" si="0"/>
        <v>1</v>
      </c>
    </row>
    <row r="19" spans="2:43" x14ac:dyDescent="0.2">
      <c r="B19" s="130">
        <v>10</v>
      </c>
      <c r="C19" s="15" t="s">
        <v>24</v>
      </c>
      <c r="D19" s="16">
        <v>1.29</v>
      </c>
      <c r="E19" s="17">
        <v>2.2709999999999999</v>
      </c>
      <c r="F19" s="18">
        <v>1.77</v>
      </c>
      <c r="G19" s="19">
        <v>-5.563689604685218E-2</v>
      </c>
      <c r="H19" s="20">
        <v>5.6770590972545332E-2</v>
      </c>
      <c r="I19" s="21">
        <v>-0.14285714285714279</v>
      </c>
      <c r="J19" s="16">
        <v>2.2250000000000001</v>
      </c>
      <c r="K19" s="17">
        <v>2.9020000000000001</v>
      </c>
      <c r="L19" s="20">
        <v>-0.2332873880082702</v>
      </c>
      <c r="M19" s="17">
        <v>2.9239999999999999</v>
      </c>
      <c r="N19" s="21">
        <v>0.76094391244869997</v>
      </c>
      <c r="O19" s="174">
        <v>0.14382022471910111</v>
      </c>
      <c r="P19" s="20">
        <v>0.17168539325842697</v>
      </c>
      <c r="Q19" s="20">
        <v>0.16449438202247191</v>
      </c>
      <c r="R19" s="20">
        <v>0.14831460674157304</v>
      </c>
      <c r="S19" s="20">
        <v>0.11146067415730336</v>
      </c>
      <c r="T19" s="20">
        <v>0.12134831460674157</v>
      </c>
      <c r="U19" s="165">
        <v>0.13887640449438202</v>
      </c>
      <c r="V19" s="165">
        <v>0</v>
      </c>
      <c r="W19" s="16">
        <v>0.36599999999999999</v>
      </c>
      <c r="X19" s="17">
        <v>0.309</v>
      </c>
      <c r="Y19" s="17">
        <v>0.38200000000000001</v>
      </c>
      <c r="Z19" s="17">
        <v>0.248</v>
      </c>
      <c r="AA19" s="17">
        <v>0.32</v>
      </c>
      <c r="AB19" s="17">
        <v>0.33</v>
      </c>
      <c r="AC19" s="17">
        <v>0.27</v>
      </c>
      <c r="AD19" s="18">
        <v>0</v>
      </c>
      <c r="AE19" s="150">
        <v>0.58434690639873099</v>
      </c>
      <c r="AF19" s="22">
        <v>0.68421052631578905</v>
      </c>
      <c r="AG19" s="21">
        <v>1</v>
      </c>
      <c r="AH19" s="16">
        <v>2.3290000000000002</v>
      </c>
      <c r="AI19" s="17">
        <v>2.819</v>
      </c>
      <c r="AJ19" s="17">
        <v>0.48999999999999977</v>
      </c>
      <c r="AK19" s="17">
        <v>1.7344090000000001</v>
      </c>
      <c r="AL19" s="20">
        <v>1.6253375068971621</v>
      </c>
      <c r="AM19" s="193">
        <v>2.4329999999999998</v>
      </c>
      <c r="AN19" s="21">
        <v>1.1586518701191946</v>
      </c>
      <c r="AO19" s="8"/>
      <c r="AP19" s="86" t="b">
        <f t="shared" si="1"/>
        <v>1</v>
      </c>
      <c r="AQ19" s="86" t="b">
        <f t="shared" si="0"/>
        <v>1</v>
      </c>
    </row>
    <row r="20" spans="2:43" x14ac:dyDescent="0.2">
      <c r="B20" s="130">
        <v>11</v>
      </c>
      <c r="C20" s="15" t="s">
        <v>11</v>
      </c>
      <c r="D20" s="16">
        <v>1.4770000000000001</v>
      </c>
      <c r="E20" s="17">
        <v>2.0059999999999998</v>
      </c>
      <c r="F20" s="18">
        <v>2.35</v>
      </c>
      <c r="G20" s="19">
        <v>0.34272727272727277</v>
      </c>
      <c r="H20" s="20">
        <v>0.21575757575757559</v>
      </c>
      <c r="I20" s="21">
        <v>0.45420792079207928</v>
      </c>
      <c r="J20" s="16">
        <v>1.7210000000000001</v>
      </c>
      <c r="K20" s="17">
        <v>1.5640000000000001</v>
      </c>
      <c r="L20" s="20">
        <v>0.10038363171355491</v>
      </c>
      <c r="M20" s="17">
        <v>2.2919999999999998</v>
      </c>
      <c r="N20" s="21">
        <v>0.75087260034904002</v>
      </c>
      <c r="O20" s="174">
        <v>0.14235909355026147</v>
      </c>
      <c r="P20" s="20">
        <v>0.14875072632190586</v>
      </c>
      <c r="Q20" s="20">
        <v>0.15165601394538059</v>
      </c>
      <c r="R20" s="20">
        <v>0.15514235909355026</v>
      </c>
      <c r="S20" s="20">
        <v>0.13422428820453225</v>
      </c>
      <c r="T20" s="20">
        <v>0.16037187681580478</v>
      </c>
      <c r="U20" s="165">
        <v>0.10749564206856478</v>
      </c>
      <c r="V20" s="165">
        <v>0</v>
      </c>
      <c r="W20" s="16">
        <v>0.26100000000000001</v>
      </c>
      <c r="X20" s="17">
        <v>0.185</v>
      </c>
      <c r="Y20" s="17">
        <v>0.25600000000000001</v>
      </c>
      <c r="Z20" s="17">
        <v>0.23100000000000001</v>
      </c>
      <c r="AA20" s="17">
        <v>0.245</v>
      </c>
      <c r="AB20" s="17">
        <v>0.26700000000000002</v>
      </c>
      <c r="AC20" s="17">
        <v>0.27600000000000002</v>
      </c>
      <c r="AD20" s="18">
        <v>0</v>
      </c>
      <c r="AE20" s="150">
        <v>0.96111111111111103</v>
      </c>
      <c r="AF20" s="22">
        <v>1</v>
      </c>
      <c r="AG20" s="21">
        <v>1</v>
      </c>
      <c r="AH20" s="16">
        <v>4.0000000000000001E-3</v>
      </c>
      <c r="AI20" s="17">
        <v>0.27200000000000002</v>
      </c>
      <c r="AJ20" s="17">
        <v>0.26800000000000002</v>
      </c>
      <c r="AK20" s="17">
        <v>0.60660000000000003</v>
      </c>
      <c r="AL20" s="20">
        <v>0.44840092317837127</v>
      </c>
      <c r="AM20" s="193">
        <v>2.2570000000000001</v>
      </c>
      <c r="AN20" s="21">
        <v>0.12051395657953035</v>
      </c>
      <c r="AO20" s="8"/>
      <c r="AP20" s="86" t="b">
        <f t="shared" si="1"/>
        <v>1</v>
      </c>
      <c r="AQ20" s="86" t="b">
        <f t="shared" si="0"/>
        <v>1</v>
      </c>
    </row>
    <row r="21" spans="2:43" x14ac:dyDescent="0.2">
      <c r="B21" s="130">
        <v>12</v>
      </c>
      <c r="C21" s="15" t="s">
        <v>23</v>
      </c>
      <c r="D21" s="16">
        <v>0.317</v>
      </c>
      <c r="E21" s="17">
        <v>0.57499999999999996</v>
      </c>
      <c r="F21" s="18">
        <v>0.41299999999999998</v>
      </c>
      <c r="G21" s="19">
        <v>-0.17447916666666663</v>
      </c>
      <c r="H21" s="20">
        <v>1.7421602787457413E-3</v>
      </c>
      <c r="I21" s="21">
        <v>1.1288659793814433</v>
      </c>
      <c r="J21" s="16">
        <v>0.51800000000000002</v>
      </c>
      <c r="K21" s="17">
        <v>0.89900000000000002</v>
      </c>
      <c r="L21" s="20">
        <v>-0.42380422691879871</v>
      </c>
      <c r="M21" s="17">
        <v>0.69</v>
      </c>
      <c r="N21" s="21">
        <v>0.75072463768115894</v>
      </c>
      <c r="O21" s="174">
        <v>0.15250965250965251</v>
      </c>
      <c r="P21" s="20">
        <v>0.18725868725868725</v>
      </c>
      <c r="Q21" s="20">
        <v>0.22393822393822393</v>
      </c>
      <c r="R21" s="20">
        <v>0.13513513513513514</v>
      </c>
      <c r="S21" s="20">
        <v>0.12548262548262548</v>
      </c>
      <c r="T21" s="20">
        <v>5.791505791505791E-2</v>
      </c>
      <c r="U21" s="165">
        <v>0.11776061776061776</v>
      </c>
      <c r="V21" s="165">
        <v>0</v>
      </c>
      <c r="W21" s="16">
        <v>0.11600000000000001</v>
      </c>
      <c r="X21" s="17">
        <v>6.0999999999999999E-2</v>
      </c>
      <c r="Y21" s="17">
        <v>9.7000000000000003E-2</v>
      </c>
      <c r="Z21" s="17">
        <v>6.5000000000000002E-2</v>
      </c>
      <c r="AA21" s="17">
        <v>7.9000000000000001E-2</v>
      </c>
      <c r="AB21" s="17">
        <v>7.0000000000000007E-2</v>
      </c>
      <c r="AC21" s="17">
        <v>0.03</v>
      </c>
      <c r="AD21" s="18">
        <v>0</v>
      </c>
      <c r="AE21" s="150">
        <v>0.51753325272067696</v>
      </c>
      <c r="AF21" s="22">
        <v>1</v>
      </c>
      <c r="AG21" s="21">
        <v>1</v>
      </c>
      <c r="AH21" s="16">
        <v>0.78600000000000003</v>
      </c>
      <c r="AI21" s="17">
        <v>0.56999999999999995</v>
      </c>
      <c r="AJ21" s="17">
        <v>-0.21600000000000008</v>
      </c>
      <c r="AK21" s="17">
        <v>0.42479800000000001</v>
      </c>
      <c r="AL21" s="20">
        <v>1.3418142269973021</v>
      </c>
      <c r="AM21" s="193">
        <v>0.86299999999999999</v>
      </c>
      <c r="AN21" s="21">
        <v>0.66048667439165698</v>
      </c>
      <c r="AO21" s="8"/>
      <c r="AP21" s="86" t="b">
        <f t="shared" si="1"/>
        <v>1</v>
      </c>
      <c r="AQ21" s="86" t="b">
        <f t="shared" si="0"/>
        <v>1</v>
      </c>
    </row>
    <row r="22" spans="2:43" x14ac:dyDescent="0.2">
      <c r="B22" s="130">
        <v>13</v>
      </c>
      <c r="C22" s="15" t="s">
        <v>21</v>
      </c>
      <c r="D22" s="16">
        <v>1.2869999999999999</v>
      </c>
      <c r="E22" s="17">
        <v>2.63</v>
      </c>
      <c r="F22" s="18">
        <v>1.901</v>
      </c>
      <c r="G22" s="19">
        <v>-7.0086705202312083E-2</v>
      </c>
      <c r="H22" s="20">
        <v>9.3100581878636568E-2</v>
      </c>
      <c r="I22" s="21">
        <v>-4.7595190380761543E-2</v>
      </c>
      <c r="J22" s="16">
        <v>1.774</v>
      </c>
      <c r="K22" s="17">
        <v>2.1869999999999998</v>
      </c>
      <c r="L22" s="20">
        <v>-0.18884316415180602</v>
      </c>
      <c r="M22" s="17">
        <v>2.4119999999999999</v>
      </c>
      <c r="N22" s="21">
        <v>0.73548922056384702</v>
      </c>
      <c r="O22" s="174">
        <v>0.10710259301014656</v>
      </c>
      <c r="P22" s="20">
        <v>0.15614430665163473</v>
      </c>
      <c r="Q22" s="20">
        <v>0.20124013528748588</v>
      </c>
      <c r="R22" s="20">
        <v>0.18545659526493799</v>
      </c>
      <c r="S22" s="20">
        <v>9.0755355129650508E-2</v>
      </c>
      <c r="T22" s="20">
        <v>0.15445321307779031</v>
      </c>
      <c r="U22" s="165">
        <v>0.10484780157835399</v>
      </c>
      <c r="V22" s="165">
        <v>0</v>
      </c>
      <c r="W22" s="16">
        <v>0.35699999999999998</v>
      </c>
      <c r="X22" s="17">
        <v>0.186</v>
      </c>
      <c r="Y22" s="17">
        <v>0.27700000000000002</v>
      </c>
      <c r="Z22" s="17">
        <v>0.161</v>
      </c>
      <c r="AA22" s="17">
        <v>0.19</v>
      </c>
      <c r="AB22" s="17">
        <v>0.32900000000000001</v>
      </c>
      <c r="AC22" s="17">
        <v>0.27400000000000002</v>
      </c>
      <c r="AD22" s="18">
        <v>0</v>
      </c>
      <c r="AE22" s="150">
        <v>0.49706811005863799</v>
      </c>
      <c r="AF22" s="22">
        <v>0.77777777777777801</v>
      </c>
      <c r="AG22" s="21">
        <v>1</v>
      </c>
      <c r="AH22" s="16">
        <v>3.036</v>
      </c>
      <c r="AI22" s="17">
        <v>2.718</v>
      </c>
      <c r="AJ22" s="17">
        <v>-0.31800000000000006</v>
      </c>
      <c r="AK22" s="17">
        <v>2.0968020000000003</v>
      </c>
      <c r="AL22" s="20">
        <v>1.2962597326786218</v>
      </c>
      <c r="AM22" s="193">
        <v>1.9390000000000001</v>
      </c>
      <c r="AN22" s="21">
        <v>1.4017534811758638</v>
      </c>
      <c r="AO22" s="8"/>
      <c r="AP22" s="86" t="b">
        <f t="shared" si="1"/>
        <v>1</v>
      </c>
      <c r="AQ22" s="86" t="b">
        <f t="shared" si="0"/>
        <v>1</v>
      </c>
    </row>
    <row r="23" spans="2:43" x14ac:dyDescent="0.2">
      <c r="B23" s="130">
        <v>14</v>
      </c>
      <c r="C23" s="125" t="s">
        <v>33</v>
      </c>
      <c r="D23" s="16">
        <v>1.2110000000000001</v>
      </c>
      <c r="E23" s="17">
        <v>2.6840000000000002</v>
      </c>
      <c r="F23" s="18">
        <v>1.7030000000000001</v>
      </c>
      <c r="G23" s="19">
        <v>-0.24501246882793015</v>
      </c>
      <c r="H23" s="20">
        <v>-0.11652402896642522</v>
      </c>
      <c r="I23" s="21">
        <v>-0.12756147540983598</v>
      </c>
      <c r="J23" s="16">
        <v>1.4910000000000001</v>
      </c>
      <c r="K23" s="17">
        <v>2.0819999999999999</v>
      </c>
      <c r="L23" s="20">
        <v>-0.28386167146974051</v>
      </c>
      <c r="M23" s="17">
        <v>2.0819999999999999</v>
      </c>
      <c r="N23" s="21">
        <v>0.71613832853025894</v>
      </c>
      <c r="O23" s="174">
        <v>0.14419852448021461</v>
      </c>
      <c r="P23" s="20">
        <v>0.19450033534540573</v>
      </c>
      <c r="Q23" s="20">
        <v>0.13816230717639166</v>
      </c>
      <c r="R23" s="20">
        <v>0.11401743796109994</v>
      </c>
      <c r="S23" s="20">
        <v>0.15425888665325285</v>
      </c>
      <c r="T23" s="20">
        <v>0.11066398390342053</v>
      </c>
      <c r="U23" s="165">
        <v>0.14419852448021461</v>
      </c>
      <c r="V23" s="165">
        <v>0</v>
      </c>
      <c r="W23" s="16">
        <v>0.20599999999999999</v>
      </c>
      <c r="X23" s="17">
        <v>0.215</v>
      </c>
      <c r="Y23" s="17">
        <v>0.28999999999999998</v>
      </c>
      <c r="Z23" s="17">
        <v>0.23</v>
      </c>
      <c r="AA23" s="17">
        <v>0.215</v>
      </c>
      <c r="AB23" s="17">
        <v>0.17</v>
      </c>
      <c r="AC23" s="17">
        <v>0.16500000000000001</v>
      </c>
      <c r="AD23" s="18">
        <v>0</v>
      </c>
      <c r="AE23" s="150">
        <v>0.866528354080221</v>
      </c>
      <c r="AF23" s="22">
        <v>0.96062992125984292</v>
      </c>
      <c r="AG23" s="21">
        <v>0.98425196850393704</v>
      </c>
      <c r="AH23" s="16">
        <v>2.4390000000000001</v>
      </c>
      <c r="AI23" s="17">
        <v>2.371</v>
      </c>
      <c r="AJ23" s="17">
        <v>-6.800000000000006E-2</v>
      </c>
      <c r="AK23" s="17">
        <v>1.3054030000000001</v>
      </c>
      <c r="AL23" s="20">
        <v>1.8162973426596996</v>
      </c>
      <c r="AM23" s="193">
        <v>1.76</v>
      </c>
      <c r="AN23" s="21">
        <v>1.3471590909090909</v>
      </c>
      <c r="AO23" s="8"/>
      <c r="AP23" s="86" t="b">
        <f t="shared" si="1"/>
        <v>1</v>
      </c>
      <c r="AQ23" s="86" t="b">
        <f t="shared" si="0"/>
        <v>1</v>
      </c>
    </row>
    <row r="24" spans="2:43" x14ac:dyDescent="0.2">
      <c r="B24" s="130">
        <v>15</v>
      </c>
      <c r="C24" s="125" t="s">
        <v>25</v>
      </c>
      <c r="D24" s="16">
        <v>1.2470000000000001</v>
      </c>
      <c r="E24" s="17">
        <v>2.4820000000000002</v>
      </c>
      <c r="F24" s="18">
        <v>1.8460000000000001</v>
      </c>
      <c r="G24" s="19">
        <v>-9.4408133623819834E-2</v>
      </c>
      <c r="H24" s="20">
        <v>2.0185708518369871E-3</v>
      </c>
      <c r="I24" s="21">
        <v>-0.11335254562920261</v>
      </c>
      <c r="J24" s="16">
        <v>2.0739999999999998</v>
      </c>
      <c r="K24" s="17">
        <v>2.7280000000000002</v>
      </c>
      <c r="L24" s="20">
        <v>-0.23973607038123179</v>
      </c>
      <c r="M24" s="17">
        <v>3.0739999999999998</v>
      </c>
      <c r="N24" s="21">
        <v>0.67469095640858801</v>
      </c>
      <c r="O24" s="174">
        <v>0.15911282545805208</v>
      </c>
      <c r="P24" s="20">
        <v>0.1513982642237223</v>
      </c>
      <c r="Q24" s="20">
        <v>0.18081002892960465</v>
      </c>
      <c r="R24" s="20">
        <v>0.11089681774349085</v>
      </c>
      <c r="S24" s="20">
        <v>0.15621986499517843</v>
      </c>
      <c r="T24" s="20">
        <v>0.17888138862102218</v>
      </c>
      <c r="U24" s="165">
        <v>6.2680810028929612E-2</v>
      </c>
      <c r="V24" s="165">
        <v>0</v>
      </c>
      <c r="W24" s="16">
        <v>0.375</v>
      </c>
      <c r="X24" s="17">
        <v>0.13</v>
      </c>
      <c r="Y24" s="17">
        <v>0.314</v>
      </c>
      <c r="Z24" s="17">
        <v>0.32400000000000001</v>
      </c>
      <c r="AA24" s="17">
        <v>0.33</v>
      </c>
      <c r="AB24" s="17">
        <v>0.23</v>
      </c>
      <c r="AC24" s="17">
        <v>0.371</v>
      </c>
      <c r="AD24" s="18">
        <v>0</v>
      </c>
      <c r="AE24" s="150">
        <v>0.73257211538461509</v>
      </c>
      <c r="AF24" s="22">
        <v>0.875</v>
      </c>
      <c r="AG24" s="21">
        <v>1</v>
      </c>
      <c r="AH24" s="16">
        <v>2.5289999999999999</v>
      </c>
      <c r="AI24" s="17">
        <v>2.4510000000000001</v>
      </c>
      <c r="AJ24" s="17">
        <v>-7.7999999999999847E-2</v>
      </c>
      <c r="AK24" s="17">
        <v>1.74777</v>
      </c>
      <c r="AL24" s="20">
        <v>1.4023584338900428</v>
      </c>
      <c r="AM24" s="193">
        <v>2.2389999999999999</v>
      </c>
      <c r="AN24" s="21">
        <v>1.0946851272889684</v>
      </c>
      <c r="AO24" s="8"/>
      <c r="AP24" s="86" t="b">
        <f t="shared" si="1"/>
        <v>1</v>
      </c>
      <c r="AQ24" s="86" t="b">
        <f t="shared" si="0"/>
        <v>1</v>
      </c>
    </row>
    <row r="25" spans="2:43" x14ac:dyDescent="0.2">
      <c r="B25" s="130">
        <v>16</v>
      </c>
      <c r="C25" s="125" t="s">
        <v>9</v>
      </c>
      <c r="D25" s="16">
        <v>0.63300000000000001</v>
      </c>
      <c r="E25" s="17">
        <v>1.1839999999999999</v>
      </c>
      <c r="F25" s="18">
        <v>0.82499999999999996</v>
      </c>
      <c r="G25" s="19">
        <v>-3.9453717754173057E-2</v>
      </c>
      <c r="H25" s="20">
        <v>0.15175097276264582</v>
      </c>
      <c r="I25" s="21">
        <v>9.8535286284953338E-2</v>
      </c>
      <c r="J25" s="16">
        <v>0.88500000000000001</v>
      </c>
      <c r="K25" s="17">
        <v>1.569</v>
      </c>
      <c r="L25" s="20">
        <v>-0.43594646271510518</v>
      </c>
      <c r="M25" s="17">
        <v>1.405</v>
      </c>
      <c r="N25" s="21">
        <v>0.629893238434164</v>
      </c>
      <c r="O25" s="174">
        <v>0.103954802259887</v>
      </c>
      <c r="P25" s="20">
        <v>0.18305084745762712</v>
      </c>
      <c r="Q25" s="20">
        <v>0.14237288135593221</v>
      </c>
      <c r="R25" s="20">
        <v>0.1175141242937853</v>
      </c>
      <c r="S25" s="20">
        <v>0.16384180790960451</v>
      </c>
      <c r="T25" s="20">
        <v>0.1536723163841808</v>
      </c>
      <c r="U25" s="165">
        <v>0.13559322033898305</v>
      </c>
      <c r="V25" s="165">
        <v>0</v>
      </c>
      <c r="W25" s="16">
        <v>0.126</v>
      </c>
      <c r="X25" s="17">
        <v>0.12</v>
      </c>
      <c r="Y25" s="17">
        <v>0.16200000000000001</v>
      </c>
      <c r="Z25" s="17">
        <v>0.14499999999999999</v>
      </c>
      <c r="AA25" s="17">
        <v>9.1999999999999998E-2</v>
      </c>
      <c r="AB25" s="17">
        <v>0.104</v>
      </c>
      <c r="AC25" s="17">
        <v>0.13600000000000001</v>
      </c>
      <c r="AD25" s="18">
        <v>0</v>
      </c>
      <c r="AE25" s="150">
        <v>0.87797619047619091</v>
      </c>
      <c r="AF25" s="22">
        <v>1</v>
      </c>
      <c r="AG25" s="21">
        <v>1</v>
      </c>
      <c r="AH25" s="16">
        <v>0.33900000000000002</v>
      </c>
      <c r="AI25" s="17">
        <v>0.54100000000000004</v>
      </c>
      <c r="AJ25" s="17">
        <v>0.20200000000000001</v>
      </c>
      <c r="AK25" s="17">
        <v>0.50040200000000001</v>
      </c>
      <c r="AL25" s="20">
        <v>1.0811307708602285</v>
      </c>
      <c r="AM25" s="193">
        <v>1.0669999999999999</v>
      </c>
      <c r="AN25" s="21">
        <v>0.50702905342080606</v>
      </c>
      <c r="AO25" s="8"/>
      <c r="AP25" s="86" t="b">
        <f t="shared" si="1"/>
        <v>1</v>
      </c>
      <c r="AQ25" s="86" t="b">
        <f t="shared" si="0"/>
        <v>1</v>
      </c>
    </row>
    <row r="26" spans="2:43" x14ac:dyDescent="0.2">
      <c r="B26" s="130">
        <v>17</v>
      </c>
      <c r="C26" s="125" t="s">
        <v>10</v>
      </c>
      <c r="D26" s="16">
        <v>0.58899999999999997</v>
      </c>
      <c r="E26" s="17">
        <v>1.125</v>
      </c>
      <c r="F26" s="18">
        <v>0.64500000000000002</v>
      </c>
      <c r="G26" s="19">
        <v>-0.16925246826516216</v>
      </c>
      <c r="H26" s="20">
        <v>7.1620411817368002E-3</v>
      </c>
      <c r="I26" s="21">
        <v>1.8957345971563955E-2</v>
      </c>
      <c r="J26" s="16">
        <v>0.79</v>
      </c>
      <c r="K26" s="138">
        <v>1.478</v>
      </c>
      <c r="L26" s="20">
        <v>-0.4654939106901218</v>
      </c>
      <c r="M26" s="17">
        <v>1.3240000000000001</v>
      </c>
      <c r="N26" s="21">
        <v>0.59667673716012093</v>
      </c>
      <c r="O26" s="174">
        <v>0.16202531645569621</v>
      </c>
      <c r="P26" s="20">
        <v>0.21139240506329116</v>
      </c>
      <c r="Q26" s="20">
        <v>0.21265822784810126</v>
      </c>
      <c r="R26" s="20">
        <v>0.13037974683544301</v>
      </c>
      <c r="S26" s="20">
        <v>9.8734177215189872E-2</v>
      </c>
      <c r="T26" s="20">
        <v>7.3417721518987344E-2</v>
      </c>
      <c r="U26" s="165">
        <v>0.11139240506329112</v>
      </c>
      <c r="V26" s="165">
        <v>0</v>
      </c>
      <c r="W26" s="16">
        <v>0.16800000000000001</v>
      </c>
      <c r="X26" s="17">
        <v>8.7999999999999995E-2</v>
      </c>
      <c r="Y26" s="17">
        <v>0.16700000000000001</v>
      </c>
      <c r="Z26" s="17">
        <v>7.8E-2</v>
      </c>
      <c r="AA26" s="17">
        <v>0.128</v>
      </c>
      <c r="AB26" s="17">
        <v>0.10299999999999999</v>
      </c>
      <c r="AC26" s="17">
        <v>5.8000000000000003E-2</v>
      </c>
      <c r="AD26" s="18">
        <v>0</v>
      </c>
      <c r="AE26" s="150">
        <v>0.94494047619047605</v>
      </c>
      <c r="AF26" s="22">
        <v>1</v>
      </c>
      <c r="AG26" s="21">
        <v>1</v>
      </c>
      <c r="AH26" s="16">
        <v>0.252</v>
      </c>
      <c r="AI26" s="17">
        <v>0.34300000000000003</v>
      </c>
      <c r="AJ26" s="17">
        <v>9.1000000000000025E-2</v>
      </c>
      <c r="AK26" s="17">
        <v>0.58969799999999994</v>
      </c>
      <c r="AL26" s="20">
        <v>0.58165366000902163</v>
      </c>
      <c r="AM26" s="193">
        <v>0.97799999999999998</v>
      </c>
      <c r="AN26" s="21">
        <v>0.3507157464212679</v>
      </c>
      <c r="AO26" s="8"/>
      <c r="AP26" s="86" t="b">
        <f t="shared" si="1"/>
        <v>1</v>
      </c>
      <c r="AQ26" s="86" t="b">
        <f t="shared" si="0"/>
        <v>1</v>
      </c>
    </row>
    <row r="27" spans="2:43" x14ac:dyDescent="0.2">
      <c r="B27" s="130">
        <v>18</v>
      </c>
      <c r="C27" s="125" t="s">
        <v>16</v>
      </c>
      <c r="D27" s="16">
        <v>0.83299999999999996</v>
      </c>
      <c r="E27" s="17">
        <v>0.93700000000000006</v>
      </c>
      <c r="F27" s="18">
        <v>1.06</v>
      </c>
      <c r="G27" s="19">
        <v>-2.2300469483568119E-2</v>
      </c>
      <c r="H27" s="20">
        <v>-2.1920668058455051E-2</v>
      </c>
      <c r="I27" s="21">
        <v>-4.8473967684021568E-2</v>
      </c>
      <c r="J27" s="16">
        <v>0.67700000000000005</v>
      </c>
      <c r="K27" s="138">
        <v>1.05</v>
      </c>
      <c r="L27" s="20">
        <v>-0.35523809523809524</v>
      </c>
      <c r="M27" s="17">
        <v>1.1359999999999999</v>
      </c>
      <c r="N27" s="21">
        <v>0.59595070422535201</v>
      </c>
      <c r="O27" s="174">
        <v>0.16248153618906941</v>
      </c>
      <c r="P27" s="20">
        <v>6.7946824224519933E-2</v>
      </c>
      <c r="Q27" s="20">
        <v>0.25849335302806498</v>
      </c>
      <c r="R27" s="20">
        <v>0.11078286558345642</v>
      </c>
      <c r="S27" s="20">
        <v>6.9423929098966025E-2</v>
      </c>
      <c r="T27" s="20">
        <v>0.2363367799113737</v>
      </c>
      <c r="U27" s="165">
        <v>9.4534711964549475E-2</v>
      </c>
      <c r="V27" s="165">
        <v>0</v>
      </c>
      <c r="W27" s="16">
        <v>0.17499999999999999</v>
      </c>
      <c r="X27" s="17">
        <v>6.4000000000000001E-2</v>
      </c>
      <c r="Y27" s="17">
        <v>4.5999999999999999E-2</v>
      </c>
      <c r="Z27" s="17">
        <v>4.7E-2</v>
      </c>
      <c r="AA27" s="17">
        <v>0.11</v>
      </c>
      <c r="AB27" s="17">
        <v>7.4999999999999997E-2</v>
      </c>
      <c r="AC27" s="17">
        <v>0.16</v>
      </c>
      <c r="AD27" s="18">
        <v>0</v>
      </c>
      <c r="AE27" s="150">
        <v>0.558970099667774</v>
      </c>
      <c r="AF27" s="22">
        <v>1</v>
      </c>
      <c r="AG27" s="21">
        <v>1</v>
      </c>
      <c r="AH27" s="16">
        <v>1.393</v>
      </c>
      <c r="AI27" s="17">
        <v>1.246</v>
      </c>
      <c r="AJ27" s="17">
        <v>-0.14700000000000002</v>
      </c>
      <c r="AK27" s="17">
        <v>0.364394</v>
      </c>
      <c r="AL27" s="20">
        <v>3.4193757306651591</v>
      </c>
      <c r="AM27" s="193">
        <v>0.93</v>
      </c>
      <c r="AN27" s="21">
        <v>1.339784946236559</v>
      </c>
      <c r="AO27" s="8"/>
      <c r="AP27" s="86" t="b">
        <f t="shared" si="1"/>
        <v>1</v>
      </c>
      <c r="AQ27" s="86" t="b">
        <f t="shared" si="0"/>
        <v>1</v>
      </c>
    </row>
    <row r="28" spans="2:43" x14ac:dyDescent="0.2">
      <c r="B28" s="130">
        <v>19</v>
      </c>
      <c r="C28" s="125" t="s">
        <v>17</v>
      </c>
      <c r="D28" s="16">
        <v>0.52700000000000002</v>
      </c>
      <c r="E28" s="17">
        <v>0.91400000000000003</v>
      </c>
      <c r="F28" s="18">
        <v>0.42299999999999999</v>
      </c>
      <c r="G28" s="19">
        <v>-0.18547140649149918</v>
      </c>
      <c r="H28" s="20">
        <v>-4.3572984749455923E-3</v>
      </c>
      <c r="I28" s="21">
        <v>-0.21811460258780047</v>
      </c>
      <c r="J28" s="16">
        <v>0.39</v>
      </c>
      <c r="K28" s="17">
        <v>0.72799999999999998</v>
      </c>
      <c r="L28" s="20">
        <v>-0.4642857142857143</v>
      </c>
      <c r="M28" s="17">
        <v>0.68600000000000005</v>
      </c>
      <c r="N28" s="21">
        <v>0.56851311953352801</v>
      </c>
      <c r="O28" s="174">
        <v>8.461538461538462E-2</v>
      </c>
      <c r="P28" s="20">
        <v>0.11538461538461538</v>
      </c>
      <c r="Q28" s="20">
        <v>0.30769230769230765</v>
      </c>
      <c r="R28" s="20">
        <v>0.24102564102564103</v>
      </c>
      <c r="S28" s="20">
        <v>8.9743589743589744E-2</v>
      </c>
      <c r="T28" s="20">
        <v>6.4102564102564111E-2</v>
      </c>
      <c r="U28" s="165">
        <v>9.7435897435897437E-2</v>
      </c>
      <c r="V28" s="165">
        <v>0</v>
      </c>
      <c r="W28" s="16">
        <v>0.12</v>
      </c>
      <c r="X28" s="17">
        <v>3.7999999999999999E-2</v>
      </c>
      <c r="Y28" s="17">
        <v>4.4999999999999998E-2</v>
      </c>
      <c r="Z28" s="17">
        <v>3.5000000000000003E-2</v>
      </c>
      <c r="AA28" s="17">
        <v>3.3000000000000002E-2</v>
      </c>
      <c r="AB28" s="17">
        <v>9.4E-2</v>
      </c>
      <c r="AC28" s="17">
        <v>2.5000000000000001E-2</v>
      </c>
      <c r="AD28" s="18">
        <v>0</v>
      </c>
      <c r="AE28" s="150">
        <v>0.38773388773388801</v>
      </c>
      <c r="AF28" s="22">
        <v>0.72881355932203407</v>
      </c>
      <c r="AG28" s="21">
        <v>1</v>
      </c>
      <c r="AH28" s="16">
        <v>1.1910000000000001</v>
      </c>
      <c r="AI28" s="17">
        <v>0.95899999999999996</v>
      </c>
      <c r="AJ28" s="17">
        <v>-0.2320000000000001</v>
      </c>
      <c r="AK28" s="17">
        <v>0.218</v>
      </c>
      <c r="AL28" s="20">
        <v>4.3990825688073389</v>
      </c>
      <c r="AM28" s="193">
        <v>0.56799999999999995</v>
      </c>
      <c r="AN28" s="21">
        <v>1.688380281690141</v>
      </c>
      <c r="AO28" s="8"/>
      <c r="AP28" s="86" t="b">
        <f t="shared" si="1"/>
        <v>1</v>
      </c>
      <c r="AQ28" s="86" t="b">
        <f t="shared" si="0"/>
        <v>1</v>
      </c>
    </row>
    <row r="29" spans="2:43" x14ac:dyDescent="0.2">
      <c r="B29" s="130">
        <v>20</v>
      </c>
      <c r="C29" s="125" t="s">
        <v>12</v>
      </c>
      <c r="D29" s="16">
        <v>1.472</v>
      </c>
      <c r="E29" s="17">
        <v>2.7810000000000001</v>
      </c>
      <c r="F29" s="18">
        <v>1.736</v>
      </c>
      <c r="G29" s="19">
        <v>-0.1785714285714286</v>
      </c>
      <c r="H29" s="20">
        <v>-0.13066583307283519</v>
      </c>
      <c r="I29" s="21">
        <v>-0.33127889060092452</v>
      </c>
      <c r="J29" s="16">
        <v>2.125</v>
      </c>
      <c r="K29" s="17">
        <v>3.3330000000000002</v>
      </c>
      <c r="L29" s="20">
        <v>-0.36243624362436244</v>
      </c>
      <c r="M29" s="17">
        <v>3.847</v>
      </c>
      <c r="N29" s="21">
        <v>0.55237847673511797</v>
      </c>
      <c r="O29" s="174">
        <v>9.4117647058823528E-2</v>
      </c>
      <c r="P29" s="20">
        <v>0.17694117647058824</v>
      </c>
      <c r="Q29" s="20">
        <v>0.20141176470588235</v>
      </c>
      <c r="R29" s="20">
        <v>0.15905882352941178</v>
      </c>
      <c r="S29" s="20">
        <v>0.14682352941176471</v>
      </c>
      <c r="T29" s="20">
        <v>0.17270588235294118</v>
      </c>
      <c r="U29" s="165">
        <v>4.1411764705882349E-2</v>
      </c>
      <c r="V29" s="165">
        <v>7.5294117647058826E-3</v>
      </c>
      <c r="W29" s="16">
        <v>0.42799999999999999</v>
      </c>
      <c r="X29" s="17">
        <v>8.7999999999999995E-2</v>
      </c>
      <c r="Y29" s="17">
        <v>0.376</v>
      </c>
      <c r="Z29" s="17">
        <v>0.312</v>
      </c>
      <c r="AA29" s="17">
        <v>0.2</v>
      </c>
      <c r="AB29" s="17">
        <v>0.33800000000000002</v>
      </c>
      <c r="AC29" s="17">
        <v>0.36699999999999999</v>
      </c>
      <c r="AD29" s="18">
        <v>1.6E-2</v>
      </c>
      <c r="AE29" s="150">
        <v>0.47701411015020495</v>
      </c>
      <c r="AF29" s="22">
        <v>1</v>
      </c>
      <c r="AG29" s="21">
        <v>1</v>
      </c>
      <c r="AH29" s="16">
        <v>2.2639999999999998</v>
      </c>
      <c r="AI29" s="17">
        <v>1.5</v>
      </c>
      <c r="AJ29" s="17">
        <v>-0.76399999999999979</v>
      </c>
      <c r="AK29" s="17">
        <v>1.42879</v>
      </c>
      <c r="AL29" s="20">
        <v>1.04983937457569</v>
      </c>
      <c r="AM29" s="193">
        <v>2.61</v>
      </c>
      <c r="AN29" s="21">
        <v>0.57471264367816099</v>
      </c>
      <c r="AO29" s="8"/>
      <c r="AP29" s="86" t="b">
        <f t="shared" si="1"/>
        <v>1</v>
      </c>
      <c r="AQ29" s="86" t="b">
        <f t="shared" si="0"/>
        <v>1</v>
      </c>
    </row>
    <row r="30" spans="2:43" x14ac:dyDescent="0.2">
      <c r="B30" s="130">
        <v>21</v>
      </c>
      <c r="C30" s="125" t="s">
        <v>29</v>
      </c>
      <c r="D30" s="16">
        <v>0.622</v>
      </c>
      <c r="E30" s="17">
        <v>1.2370000000000001</v>
      </c>
      <c r="F30" s="18">
        <v>0.73099999999999998</v>
      </c>
      <c r="G30" s="19">
        <v>-0.12640449438202239</v>
      </c>
      <c r="H30" s="20">
        <v>1.8945634266886335E-2</v>
      </c>
      <c r="I30" s="21">
        <v>0.23898305084745775</v>
      </c>
      <c r="J30" s="140">
        <v>0.70699999999999996</v>
      </c>
      <c r="K30" s="17">
        <v>1.3260000000000001</v>
      </c>
      <c r="L30" s="20">
        <v>-0.46681749622926094</v>
      </c>
      <c r="M30" s="17">
        <v>1.284</v>
      </c>
      <c r="N30" s="21">
        <v>0.55062305295950198</v>
      </c>
      <c r="O30" s="174">
        <v>0.17538896746817539</v>
      </c>
      <c r="P30" s="20">
        <v>0.21357850070721357</v>
      </c>
      <c r="Q30" s="20">
        <v>9.0523338048090526E-2</v>
      </c>
      <c r="R30" s="20">
        <v>0.12305516265912306</v>
      </c>
      <c r="S30" s="20">
        <v>0.12729844413012731</v>
      </c>
      <c r="T30" s="20">
        <v>0.12305516265912306</v>
      </c>
      <c r="U30" s="165">
        <v>0.1471004243281471</v>
      </c>
      <c r="V30" s="165">
        <v>0</v>
      </c>
      <c r="W30" s="16">
        <v>6.4000000000000001E-2</v>
      </c>
      <c r="X30" s="17">
        <v>0.104</v>
      </c>
      <c r="Y30" s="17">
        <v>0.151</v>
      </c>
      <c r="Z30" s="17">
        <v>0.09</v>
      </c>
      <c r="AA30" s="17">
        <v>0.124</v>
      </c>
      <c r="AB30" s="17">
        <v>8.6999999999999994E-2</v>
      </c>
      <c r="AC30" s="17">
        <v>8.6999999999999994E-2</v>
      </c>
      <c r="AD30" s="18">
        <v>0</v>
      </c>
      <c r="AE30" s="150">
        <v>0.78856382978723405</v>
      </c>
      <c r="AF30" s="22">
        <v>0.939393939393939</v>
      </c>
      <c r="AG30" s="21">
        <v>1</v>
      </c>
      <c r="AH30" s="16">
        <v>0.45</v>
      </c>
      <c r="AI30" s="17">
        <v>0.42599999999999999</v>
      </c>
      <c r="AJ30" s="184">
        <v>-2.4000000000000021E-2</v>
      </c>
      <c r="AK30" s="17">
        <v>0.60759600000000002</v>
      </c>
      <c r="AL30" s="20">
        <v>0.70112377303339712</v>
      </c>
      <c r="AM30" s="193">
        <v>1.0920000000000001</v>
      </c>
      <c r="AN30" s="21">
        <v>0.39010989010989006</v>
      </c>
      <c r="AO30" s="8"/>
      <c r="AP30" s="86" t="b">
        <f t="shared" si="1"/>
        <v>1</v>
      </c>
      <c r="AQ30" s="86" t="b">
        <f t="shared" si="0"/>
        <v>1</v>
      </c>
    </row>
    <row r="31" spans="2:43" x14ac:dyDescent="0.2">
      <c r="B31" s="130">
        <v>22</v>
      </c>
      <c r="C31" s="125" t="s">
        <v>68</v>
      </c>
      <c r="D31" s="16">
        <v>1.0820000000000001</v>
      </c>
      <c r="E31" s="17">
        <v>2.234</v>
      </c>
      <c r="F31" s="18">
        <v>1.452</v>
      </c>
      <c r="G31" s="19">
        <v>-5.5021834061135366E-2</v>
      </c>
      <c r="H31" s="20">
        <v>7.6626506024096264E-2</v>
      </c>
      <c r="I31" s="21">
        <v>-0.12106537530266337</v>
      </c>
      <c r="J31" s="140">
        <v>1.262</v>
      </c>
      <c r="K31" s="17">
        <v>2.1640000000000001</v>
      </c>
      <c r="L31" s="20">
        <v>-0.41682070240295754</v>
      </c>
      <c r="M31" s="17">
        <v>2.298</v>
      </c>
      <c r="N31" s="21">
        <v>0.54917319408180998</v>
      </c>
      <c r="O31" s="174">
        <v>0.1347068145800317</v>
      </c>
      <c r="P31" s="20">
        <v>0.19413629160063392</v>
      </c>
      <c r="Q31" s="20">
        <v>0.12282091917591124</v>
      </c>
      <c r="R31" s="20">
        <v>0.16244057052297939</v>
      </c>
      <c r="S31" s="20">
        <v>0.14025356576862122</v>
      </c>
      <c r="T31" s="20">
        <v>0.11093502377179082</v>
      </c>
      <c r="U31" s="165">
        <v>0.1347068145800317</v>
      </c>
      <c r="V31" s="165">
        <v>0</v>
      </c>
      <c r="W31" s="16">
        <v>0.155</v>
      </c>
      <c r="X31" s="17">
        <v>0.17</v>
      </c>
      <c r="Y31" s="17">
        <v>0.245</v>
      </c>
      <c r="Z31" s="17">
        <v>0.17699999999999999</v>
      </c>
      <c r="AA31" s="17">
        <v>0.17</v>
      </c>
      <c r="AB31" s="17">
        <v>0.20499999999999999</v>
      </c>
      <c r="AC31" s="17">
        <v>0.14000000000000001</v>
      </c>
      <c r="AD31" s="18">
        <v>0</v>
      </c>
      <c r="AE31" s="150">
        <v>0.78830874006810403</v>
      </c>
      <c r="AF31" s="22">
        <v>0.95</v>
      </c>
      <c r="AG31" s="21">
        <v>1</v>
      </c>
      <c r="AH31" s="16">
        <v>1.7609999999999999</v>
      </c>
      <c r="AI31" s="17">
        <v>1.7190000000000001</v>
      </c>
      <c r="AJ31" s="184">
        <v>-4.1999999999999815E-2</v>
      </c>
      <c r="AK31" s="17">
        <v>1.9239949999999999</v>
      </c>
      <c r="AL31" s="20">
        <v>0.89345346531565839</v>
      </c>
      <c r="AM31" s="193">
        <v>1.8460000000000001</v>
      </c>
      <c r="AN31" s="21">
        <v>0.93120260021668477</v>
      </c>
      <c r="AO31" s="8"/>
      <c r="AP31" s="86" t="b">
        <f t="shared" si="1"/>
        <v>1</v>
      </c>
      <c r="AQ31" s="86" t="b">
        <f t="shared" si="0"/>
        <v>1</v>
      </c>
    </row>
    <row r="32" spans="2:43" x14ac:dyDescent="0.2">
      <c r="B32" s="130">
        <v>23</v>
      </c>
      <c r="C32" s="125" t="s">
        <v>15</v>
      </c>
      <c r="D32" s="16">
        <v>0.24</v>
      </c>
      <c r="E32" s="17">
        <v>0.64500000000000002</v>
      </c>
      <c r="F32" s="18">
        <v>0.38800000000000001</v>
      </c>
      <c r="G32" s="19">
        <v>-0.323943661971831</v>
      </c>
      <c r="H32" s="20">
        <v>-0.30420711974110037</v>
      </c>
      <c r="I32" s="21">
        <v>-3.7220843672456594E-2</v>
      </c>
      <c r="J32" s="140">
        <v>0.22700000000000001</v>
      </c>
      <c r="K32" s="17">
        <v>0.501</v>
      </c>
      <c r="L32" s="20">
        <v>-0.54690618762475052</v>
      </c>
      <c r="M32" s="17">
        <v>0.496</v>
      </c>
      <c r="N32" s="21">
        <v>0.45766129032258102</v>
      </c>
      <c r="O32" s="174">
        <v>9.2511013215859028E-2</v>
      </c>
      <c r="P32" s="20">
        <v>5.7268722466960346E-2</v>
      </c>
      <c r="Q32" s="20">
        <v>0.26431718061674009</v>
      </c>
      <c r="R32" s="20">
        <v>0.33039647577092507</v>
      </c>
      <c r="S32" s="20">
        <v>6.6079295154185022E-2</v>
      </c>
      <c r="T32" s="20">
        <v>9.6916299559471356E-2</v>
      </c>
      <c r="U32" s="165">
        <v>9.2511013215859028E-2</v>
      </c>
      <c r="V32" s="165">
        <v>0</v>
      </c>
      <c r="W32" s="16">
        <v>0.06</v>
      </c>
      <c r="X32" s="17">
        <v>2.1000000000000001E-2</v>
      </c>
      <c r="Y32" s="17">
        <v>1.2999999999999999E-2</v>
      </c>
      <c r="Z32" s="17">
        <v>1.4999999999999999E-2</v>
      </c>
      <c r="AA32" s="17">
        <v>2.1000000000000001E-2</v>
      </c>
      <c r="AB32" s="17">
        <v>7.4999999999999997E-2</v>
      </c>
      <c r="AC32" s="17">
        <v>2.1999999999999999E-2</v>
      </c>
      <c r="AD32" s="18">
        <v>0</v>
      </c>
      <c r="AE32" s="150">
        <v>0.59811616954474101</v>
      </c>
      <c r="AF32" s="22">
        <v>0.95</v>
      </c>
      <c r="AG32" s="21">
        <v>0.95</v>
      </c>
      <c r="AH32" s="16">
        <v>0.45300000000000001</v>
      </c>
      <c r="AI32" s="17">
        <v>0.497</v>
      </c>
      <c r="AJ32" s="17">
        <v>4.3999999999999984E-2</v>
      </c>
      <c r="AK32" s="17">
        <v>0.154</v>
      </c>
      <c r="AL32" s="20">
        <v>3.2272727272727275</v>
      </c>
      <c r="AM32" s="193">
        <v>0.40500000000000003</v>
      </c>
      <c r="AN32" s="21">
        <v>1.2271604938271603</v>
      </c>
      <c r="AO32" s="8"/>
      <c r="AP32" s="86" t="b">
        <f t="shared" ref="AP32" si="4">SUM(O32:V32)=1</f>
        <v>1</v>
      </c>
      <c r="AQ32" s="86" t="b">
        <f t="shared" si="0"/>
        <v>1</v>
      </c>
    </row>
    <row r="33" spans="2:43" x14ac:dyDescent="0.2">
      <c r="B33" s="130">
        <v>24</v>
      </c>
      <c r="C33" s="125" t="s">
        <v>6</v>
      </c>
      <c r="D33" s="16">
        <v>0.86299999999999999</v>
      </c>
      <c r="E33" s="17">
        <v>2.3090000000000002</v>
      </c>
      <c r="F33" s="18">
        <v>1.59</v>
      </c>
      <c r="G33" s="19">
        <v>-0.49825581395348839</v>
      </c>
      <c r="H33" s="20">
        <v>-0.18004261363636354</v>
      </c>
      <c r="I33" s="21">
        <v>-0.16753926701570676</v>
      </c>
      <c r="J33" s="140">
        <v>1.3320000000000001</v>
      </c>
      <c r="K33" s="17">
        <v>2.9169999999999998</v>
      </c>
      <c r="L33" s="20">
        <v>-0.54336647240315394</v>
      </c>
      <c r="M33" s="17">
        <v>3.2709999999999999</v>
      </c>
      <c r="N33" s="21">
        <v>0.40721491898502005</v>
      </c>
      <c r="O33" s="174">
        <v>0.18618618618618618</v>
      </c>
      <c r="P33" s="20">
        <v>0.20645645645645647</v>
      </c>
      <c r="Q33" s="20">
        <v>0.12012012012012012</v>
      </c>
      <c r="R33" s="20">
        <v>0.11186186186186185</v>
      </c>
      <c r="S33" s="20">
        <v>0.1463963963963964</v>
      </c>
      <c r="T33" s="20">
        <v>8.6336336336336333E-2</v>
      </c>
      <c r="U33" s="165">
        <v>0.14264264264264265</v>
      </c>
      <c r="V33" s="165">
        <v>0</v>
      </c>
      <c r="W33" s="16">
        <v>0.16</v>
      </c>
      <c r="X33" s="17">
        <v>0.19</v>
      </c>
      <c r="Y33" s="17">
        <v>0.27500000000000002</v>
      </c>
      <c r="Z33" s="17">
        <v>0.19500000000000001</v>
      </c>
      <c r="AA33" s="17">
        <v>0.248</v>
      </c>
      <c r="AB33" s="17">
        <v>0.14899999999999999</v>
      </c>
      <c r="AC33" s="17">
        <v>0.115</v>
      </c>
      <c r="AD33" s="18">
        <v>0</v>
      </c>
      <c r="AE33" s="150">
        <v>0.78303850156087407</v>
      </c>
      <c r="AF33" s="22">
        <v>0.92857142857142905</v>
      </c>
      <c r="AG33" s="21">
        <v>0.97619047619047605</v>
      </c>
      <c r="AH33" s="16">
        <v>2.286</v>
      </c>
      <c r="AI33" s="17">
        <v>1.482</v>
      </c>
      <c r="AJ33" s="17">
        <v>-0.80400000000000005</v>
      </c>
      <c r="AK33" s="17">
        <v>0.74986199999999992</v>
      </c>
      <c r="AL33" s="20">
        <v>1.9763636509117679</v>
      </c>
      <c r="AM33" s="193">
        <v>2.0830000000000002</v>
      </c>
      <c r="AN33" s="21">
        <v>0.71147383581373014</v>
      </c>
      <c r="AO33" s="8"/>
      <c r="AP33" s="86" t="b">
        <f t="shared" si="1"/>
        <v>1</v>
      </c>
      <c r="AQ33" s="86" t="b">
        <f t="shared" si="0"/>
        <v>1</v>
      </c>
    </row>
    <row r="34" spans="2:43" x14ac:dyDescent="0.2">
      <c r="B34" s="23">
        <v>25</v>
      </c>
      <c r="C34" s="126" t="s">
        <v>30</v>
      </c>
      <c r="D34" s="25">
        <v>0.307</v>
      </c>
      <c r="E34" s="26">
        <v>0.63</v>
      </c>
      <c r="F34" s="27">
        <v>0.54600000000000004</v>
      </c>
      <c r="G34" s="28">
        <v>-5.8282208588957052E-2</v>
      </c>
      <c r="H34" s="29">
        <v>3.4482758620689724E-2</v>
      </c>
      <c r="I34" s="30">
        <v>5.4054054054054168E-2</v>
      </c>
      <c r="J34" s="25">
        <v>0.29399999999999998</v>
      </c>
      <c r="K34" s="139">
        <v>0.50900000000000001</v>
      </c>
      <c r="L34" s="29">
        <v>-0.42239685658153248</v>
      </c>
      <c r="M34" s="26">
        <v>0.75600000000000001</v>
      </c>
      <c r="N34" s="30">
        <v>0.38888888888888901</v>
      </c>
      <c r="O34" s="175">
        <v>8.5034013605442188E-2</v>
      </c>
      <c r="P34" s="29">
        <v>0.19047619047619049</v>
      </c>
      <c r="Q34" s="29">
        <v>0.2142857142857143</v>
      </c>
      <c r="R34" s="29">
        <v>6.1224489795918366E-2</v>
      </c>
      <c r="S34" s="29">
        <v>0.17006802721088438</v>
      </c>
      <c r="T34" s="29">
        <v>0.20748299319727892</v>
      </c>
      <c r="U34" s="166">
        <v>7.1428571428571438E-2</v>
      </c>
      <c r="V34" s="166">
        <v>0</v>
      </c>
      <c r="W34" s="25">
        <v>6.3E-2</v>
      </c>
      <c r="X34" s="26">
        <v>2.1000000000000001E-2</v>
      </c>
      <c r="Y34" s="26">
        <v>5.6000000000000001E-2</v>
      </c>
      <c r="Z34" s="26">
        <v>0.05</v>
      </c>
      <c r="AA34" s="26">
        <v>2.5000000000000001E-2</v>
      </c>
      <c r="AB34" s="26">
        <v>1.7999999999999999E-2</v>
      </c>
      <c r="AC34" s="26">
        <v>6.0999999999999999E-2</v>
      </c>
      <c r="AD34" s="27">
        <v>0</v>
      </c>
      <c r="AE34" s="151">
        <v>0.79582712369597597</v>
      </c>
      <c r="AF34" s="31">
        <v>0.91666666666666696</v>
      </c>
      <c r="AG34" s="30">
        <v>1</v>
      </c>
      <c r="AH34" s="25">
        <v>0.42099999999999999</v>
      </c>
      <c r="AI34" s="26">
        <v>0.39100000000000001</v>
      </c>
      <c r="AJ34" s="185">
        <v>-2.9999999999999971E-2</v>
      </c>
      <c r="AK34" s="26">
        <v>0.38683200000000001</v>
      </c>
      <c r="AL34" s="29">
        <v>1.0107747032303429</v>
      </c>
      <c r="AM34" s="194">
        <v>0.624</v>
      </c>
      <c r="AN34" s="30">
        <v>0.6266025641025641</v>
      </c>
      <c r="AO34" s="8"/>
      <c r="AP34" s="86" t="b">
        <f t="shared" si="1"/>
        <v>1</v>
      </c>
      <c r="AQ34" s="86" t="b">
        <f t="shared" si="0"/>
        <v>1</v>
      </c>
    </row>
    <row r="35" spans="2:43" x14ac:dyDescent="0.2">
      <c r="C35" s="127"/>
      <c r="AH35" s="97"/>
    </row>
  </sheetData>
  <mergeCells count="12">
    <mergeCell ref="J2:N2"/>
    <mergeCell ref="O2:U2"/>
    <mergeCell ref="B4:C4"/>
    <mergeCell ref="B2:B3"/>
    <mergeCell ref="C2:C3"/>
    <mergeCell ref="D2:F2"/>
    <mergeCell ref="G2:I2"/>
    <mergeCell ref="W2:AD2"/>
    <mergeCell ref="AE2:AE3"/>
    <mergeCell ref="AF2:AG2"/>
    <mergeCell ref="AH2:AN2"/>
    <mergeCell ref="AP2:AQ2"/>
  </mergeCells>
  <phoneticPr fontId="19" type="noConversion"/>
  <conditionalFormatting sqref="G33:I34 G4:I31 L4:L31">
    <cfRule type="cellIs" dxfId="24" priority="21" operator="lessThan">
      <formula>0</formula>
    </cfRule>
  </conditionalFormatting>
  <conditionalFormatting sqref="L33:L34">
    <cfRule type="cellIs" dxfId="23" priority="20" operator="lessThan">
      <formula>0</formula>
    </cfRule>
  </conditionalFormatting>
  <conditionalFormatting sqref="AP33:AQ34 AP4:AQ31">
    <cfRule type="containsText" dxfId="22" priority="19" operator="containsText" text="f">
      <formula>NOT(ISERROR(SEARCH("f",AP4)))</formula>
    </cfRule>
  </conditionalFormatting>
  <conditionalFormatting sqref="AF33:AG34 AF6:AG31 AG5">
    <cfRule type="cellIs" dxfId="21" priority="18" operator="lessThan">
      <formula>0.3</formula>
    </cfRule>
  </conditionalFormatting>
  <conditionalFormatting sqref="Q33:Q34 Q4:Q31">
    <cfRule type="cellIs" dxfId="20" priority="17" operator="greaterThanOrEqual">
      <formula>0.15</formula>
    </cfRule>
  </conditionalFormatting>
  <conditionalFormatting sqref="AE33:AE34 AE5:AE31">
    <cfRule type="cellIs" dxfId="19" priority="16" operator="lessThan">
      <formula>$AE$4</formula>
    </cfRule>
  </conditionalFormatting>
  <conditionalFormatting sqref="AJ33:AJ34 AJ4:AJ31">
    <cfRule type="cellIs" dxfId="18" priority="15" operator="lessThan">
      <formula>0</formula>
    </cfRule>
  </conditionalFormatting>
  <conditionalFormatting sqref="G32:I32">
    <cfRule type="cellIs" dxfId="17" priority="14" operator="lessThan">
      <formula>0</formula>
    </cfRule>
  </conditionalFormatting>
  <conditionalFormatting sqref="L32">
    <cfRule type="cellIs" dxfId="16" priority="13" operator="lessThan">
      <formula>0</formula>
    </cfRule>
  </conditionalFormatting>
  <conditionalFormatting sqref="AP32:AQ32">
    <cfRule type="containsText" dxfId="15" priority="12" operator="containsText" text="f">
      <formula>NOT(ISERROR(SEARCH("f",AP32)))</formula>
    </cfRule>
  </conditionalFormatting>
  <conditionalFormatting sqref="AF32:AG32">
    <cfRule type="cellIs" dxfId="14" priority="11" operator="lessThan">
      <formula>0.3</formula>
    </cfRule>
  </conditionalFormatting>
  <conditionalFormatting sqref="Q32">
    <cfRule type="cellIs" dxfId="13" priority="10" operator="greaterThanOrEqual">
      <formula>0.15</formula>
    </cfRule>
  </conditionalFormatting>
  <conditionalFormatting sqref="AE32">
    <cfRule type="cellIs" dxfId="12" priority="9" operator="lessThan">
      <formula>$AE$4</formula>
    </cfRule>
  </conditionalFormatting>
  <conditionalFormatting sqref="AJ32">
    <cfRule type="cellIs" dxfId="11" priority="8" operator="lessThan">
      <formula>0</formula>
    </cfRule>
  </conditionalFormatting>
  <conditionalFormatting sqref="AJ4:AJ34">
    <cfRule type="cellIs" dxfId="10" priority="7" operator="greaterThan">
      <formula>0</formula>
    </cfRule>
  </conditionalFormatting>
  <conditionalFormatting sqref="AF4 AF11:AF34 AF6:AF9">
    <cfRule type="cellIs" dxfId="9" priority="6" operator="lessThan">
      <formula>0.8</formula>
    </cfRule>
  </conditionalFormatting>
  <conditionalFormatting sqref="N5:N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0:N3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4:AN34">
    <cfRule type="cellIs" dxfId="8" priority="2" operator="greaterThanOrEqual">
      <formula>1</formula>
    </cfRule>
  </conditionalFormatting>
  <conditionalFormatting sqref="AL4:AL34">
    <cfRule type="cellIs" dxfId="7" priority="1" operator="greaterThanOrEqual">
      <formula>1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34"/>
  <sheetViews>
    <sheetView showGridLines="0" zoomScale="85" zoomScaleNormal="85" workbookViewId="0">
      <selection activeCell="B33" sqref="B33"/>
    </sheetView>
  </sheetViews>
  <sheetFormatPr defaultRowHeight="16.5" outlineLevelCol="1" x14ac:dyDescent="0.2"/>
  <cols>
    <col min="1" max="1" width="3.625" style="3" customWidth="1"/>
    <col min="2" max="2" width="6.125" style="4" customWidth="1"/>
    <col min="3" max="3" width="17.625" style="4" customWidth="1"/>
    <col min="4" max="10" width="9" style="3"/>
    <col min="11" max="11" width="0" style="3" hidden="1" customWidth="1" outlineLevel="1"/>
    <col min="12" max="12" width="9" style="3" collapsed="1"/>
    <col min="13" max="13" width="9" style="3" customWidth="1"/>
    <col min="14" max="14" width="9" style="3"/>
    <col min="15" max="22" width="8.5" style="3" customWidth="1"/>
    <col min="23" max="32" width="9" style="3" customWidth="1"/>
    <col min="33" max="33" width="9" style="3"/>
    <col min="34" max="36" width="8.5" style="3" customWidth="1"/>
    <col min="37" max="16384" width="9" style="3"/>
  </cols>
  <sheetData>
    <row r="1" spans="2:39" x14ac:dyDescent="0.2">
      <c r="B1" s="4" t="s">
        <v>34</v>
      </c>
      <c r="C1" s="4" t="s">
        <v>7</v>
      </c>
      <c r="O1" s="3">
        <f>RANK(O4,$O$4:$V$4)</f>
        <v>3</v>
      </c>
      <c r="P1" s="3">
        <f t="shared" ref="P1:V1" si="0">RANK(P4,$O$4:$V$4)</f>
        <v>7</v>
      </c>
      <c r="Q1" s="3">
        <f t="shared" si="0"/>
        <v>2</v>
      </c>
      <c r="R1" s="3">
        <f t="shared" si="0"/>
        <v>5</v>
      </c>
      <c r="S1" s="3">
        <f t="shared" si="0"/>
        <v>1</v>
      </c>
      <c r="T1" s="3">
        <f t="shared" si="0"/>
        <v>4</v>
      </c>
      <c r="U1" s="3">
        <f t="shared" si="0"/>
        <v>6</v>
      </c>
      <c r="V1" s="3">
        <f t="shared" si="0"/>
        <v>8</v>
      </c>
    </row>
    <row r="2" spans="2:39" x14ac:dyDescent="0.2">
      <c r="B2" s="196" t="s">
        <v>54</v>
      </c>
      <c r="C2" s="198" t="s">
        <v>59</v>
      </c>
      <c r="D2" s="196" t="s">
        <v>47</v>
      </c>
      <c r="E2" s="197"/>
      <c r="F2" s="198"/>
      <c r="G2" s="196" t="s">
        <v>48</v>
      </c>
      <c r="H2" s="197"/>
      <c r="I2" s="198"/>
      <c r="J2" s="196">
        <v>2505</v>
      </c>
      <c r="K2" s="197"/>
      <c r="L2" s="197"/>
      <c r="M2" s="197"/>
      <c r="N2" s="198"/>
      <c r="O2" s="207" t="s">
        <v>75</v>
      </c>
      <c r="P2" s="205"/>
      <c r="Q2" s="205"/>
      <c r="R2" s="205"/>
      <c r="S2" s="205"/>
      <c r="T2" s="205"/>
      <c r="U2" s="205"/>
      <c r="V2" s="206"/>
      <c r="W2" s="196" t="s">
        <v>74</v>
      </c>
      <c r="X2" s="197"/>
      <c r="Y2" s="197"/>
      <c r="Z2" s="197"/>
      <c r="AA2" s="197"/>
      <c r="AB2" s="197"/>
      <c r="AC2" s="197"/>
      <c r="AD2" s="198"/>
      <c r="AE2" s="196" t="s">
        <v>67</v>
      </c>
      <c r="AF2" s="205"/>
      <c r="AG2" s="198"/>
      <c r="AH2" s="210" t="s">
        <v>102</v>
      </c>
      <c r="AI2" s="208" t="s">
        <v>103</v>
      </c>
      <c r="AJ2" s="206"/>
      <c r="AL2" s="209" t="s">
        <v>78</v>
      </c>
      <c r="AM2" s="209"/>
    </row>
    <row r="3" spans="2:39" x14ac:dyDescent="0.2">
      <c r="B3" s="201"/>
      <c r="C3" s="202"/>
      <c r="D3" s="13">
        <v>2502</v>
      </c>
      <c r="E3" s="10">
        <v>2503</v>
      </c>
      <c r="F3" s="11">
        <v>2504</v>
      </c>
      <c r="G3" s="13">
        <f>D3</f>
        <v>2502</v>
      </c>
      <c r="H3" s="10">
        <f t="shared" ref="H3:I3" si="1">E3</f>
        <v>2503</v>
      </c>
      <c r="I3" s="11">
        <f t="shared" si="1"/>
        <v>2504</v>
      </c>
      <c r="J3" s="13" t="s">
        <v>47</v>
      </c>
      <c r="K3" s="10" t="s">
        <v>50</v>
      </c>
      <c r="L3" s="10" t="s">
        <v>48</v>
      </c>
      <c r="M3" s="10" t="s">
        <v>51</v>
      </c>
      <c r="N3" s="11" t="s">
        <v>52</v>
      </c>
      <c r="O3" s="102" t="s">
        <v>88</v>
      </c>
      <c r="P3" s="12" t="s">
        <v>80</v>
      </c>
      <c r="Q3" s="10" t="s">
        <v>81</v>
      </c>
      <c r="R3" s="10" t="s">
        <v>82</v>
      </c>
      <c r="S3" s="10" t="s">
        <v>83</v>
      </c>
      <c r="T3" s="10" t="s">
        <v>84</v>
      </c>
      <c r="U3" s="10" t="s">
        <v>105</v>
      </c>
      <c r="V3" s="99" t="s">
        <v>106</v>
      </c>
      <c r="W3" s="98" t="s">
        <v>66</v>
      </c>
      <c r="X3" s="10" t="s">
        <v>40</v>
      </c>
      <c r="Y3" s="10" t="s">
        <v>41</v>
      </c>
      <c r="Z3" s="10" t="s">
        <v>42</v>
      </c>
      <c r="AA3" s="10" t="s">
        <v>43</v>
      </c>
      <c r="AB3" s="10" t="s">
        <v>44</v>
      </c>
      <c r="AC3" s="10" t="s">
        <v>72</v>
      </c>
      <c r="AD3" s="99" t="s">
        <v>73</v>
      </c>
      <c r="AE3" s="75" t="s">
        <v>91</v>
      </c>
      <c r="AF3" s="90" t="s">
        <v>94</v>
      </c>
      <c r="AG3" s="76" t="s">
        <v>95</v>
      </c>
      <c r="AH3" s="211"/>
      <c r="AI3" s="10" t="s">
        <v>100</v>
      </c>
      <c r="AJ3" s="11" t="s">
        <v>104</v>
      </c>
      <c r="AL3" s="100" t="s">
        <v>76</v>
      </c>
      <c r="AM3" s="100" t="s">
        <v>77</v>
      </c>
    </row>
    <row r="4" spans="2:39" s="8" customFormat="1" ht="15" x14ac:dyDescent="0.2">
      <c r="B4" s="199" t="s">
        <v>60</v>
      </c>
      <c r="C4" s="200"/>
      <c r="D4" s="39">
        <f>基础表!G4</f>
        <v>24.120999999999999</v>
      </c>
      <c r="E4" s="40">
        <f>基础表!H4</f>
        <v>43.899000000000001</v>
      </c>
      <c r="F4" s="41">
        <f>基础表!I4</f>
        <v>32.798999999999999</v>
      </c>
      <c r="G4" s="42">
        <f>基础表!J4</f>
        <v>-0.11767503109225264</v>
      </c>
      <c r="H4" s="43">
        <f>基础表!K4</f>
        <v>1.6439371136169001E-2</v>
      </c>
      <c r="I4" s="44">
        <f>基础表!L4</f>
        <v>-3.489774900691478E-2</v>
      </c>
      <c r="J4" s="39">
        <f>基础表!M4</f>
        <v>35.893999999999998</v>
      </c>
      <c r="K4" s="40">
        <f>基础表!N4</f>
        <v>45.45</v>
      </c>
      <c r="L4" s="43">
        <f>基础表!O4</f>
        <v>-0.21025302530253032</v>
      </c>
      <c r="M4" s="40">
        <f>基础表!P4</f>
        <v>46.4</v>
      </c>
      <c r="N4" s="44">
        <f>基础表!Q4</f>
        <v>0.77357758620689698</v>
      </c>
      <c r="O4" s="44">
        <f>基础表!R4</f>
        <v>0.15178024182314595</v>
      </c>
      <c r="P4" s="45">
        <f>基础表!S4</f>
        <v>0.10388922939767092</v>
      </c>
      <c r="Q4" s="43">
        <f>基础表!T4</f>
        <v>0.15907951189613864</v>
      </c>
      <c r="R4" s="43">
        <f>基础表!U4</f>
        <v>0.11595252688471611</v>
      </c>
      <c r="S4" s="43">
        <f>基础表!V4</f>
        <v>0.17220148214186215</v>
      </c>
      <c r="T4" s="43">
        <f>基础表!W4</f>
        <v>0.13927118738507829</v>
      </c>
      <c r="U4" s="43">
        <f>基础表!X4</f>
        <v>0.11531175126762135</v>
      </c>
      <c r="V4" s="44">
        <f>基础表!Y4</f>
        <v>4.2514069203766651E-2</v>
      </c>
      <c r="W4" s="39">
        <f>基础表!Z4</f>
        <v>5.4480000000000004</v>
      </c>
      <c r="X4" s="40">
        <f>基础表!AA4</f>
        <v>3.7290000000000001</v>
      </c>
      <c r="Y4" s="40">
        <f>基础表!AB4</f>
        <v>5.71</v>
      </c>
      <c r="Z4" s="40">
        <f>基础表!AC4</f>
        <v>4.1619999999999999</v>
      </c>
      <c r="AA4" s="40">
        <f>基础表!AD4</f>
        <v>6.181</v>
      </c>
      <c r="AB4" s="40">
        <f>基础表!AE4</f>
        <v>4.9989999999999997</v>
      </c>
      <c r="AC4" s="40">
        <f>基础表!AF4</f>
        <v>4.1390000000000002</v>
      </c>
      <c r="AD4" s="41">
        <f>基础表!AG4</f>
        <v>1.526</v>
      </c>
      <c r="AE4" s="39">
        <f>基础表!AH4</f>
        <v>35.417999999999999</v>
      </c>
      <c r="AF4" s="40">
        <f>基础表!AI4</f>
        <v>33.398499999999999</v>
      </c>
      <c r="AG4" s="41">
        <f>基础表!AJ4</f>
        <v>-2.0195000000000007</v>
      </c>
      <c r="AH4" s="42">
        <f>基础表!AQ4</f>
        <v>0.70226258934809493</v>
      </c>
      <c r="AI4" s="42">
        <f>基础表!AR4</f>
        <v>0.91942324003392695</v>
      </c>
      <c r="AJ4" s="42">
        <f>基础表!AS4</f>
        <v>0.99406276505513103</v>
      </c>
      <c r="AL4" s="8" t="b">
        <f>1=SUM(O4:V4)</f>
        <v>1</v>
      </c>
      <c r="AM4" s="8" t="b">
        <f t="shared" ref="AM4:AM34" si="2">SUM(W4:AD4)=J4</f>
        <v>1</v>
      </c>
    </row>
    <row r="5" spans="2:39" x14ac:dyDescent="0.2">
      <c r="B5" s="46">
        <v>1</v>
      </c>
      <c r="C5" s="47" t="str">
        <f>VLOOKUP($B5,基础表!$A:$AP,COLUMN(基础表!E$1),0)</f>
        <v>哈尔滨营业部</v>
      </c>
      <c r="D5" s="48">
        <f>VLOOKUP($B5,基础表!$A:$AP,COLUMN(基础表!G$1),0)</f>
        <v>7.4180000000000001</v>
      </c>
      <c r="E5" s="49">
        <f>VLOOKUP($B5,基础表!$A:$AP,COLUMN(基础表!H$1),0)</f>
        <v>13.180999999999999</v>
      </c>
      <c r="F5" s="50">
        <f>VLOOKUP($B5,基础表!$A:$AP,COLUMN(基础表!I$1),0)</f>
        <v>9.8710000000000004</v>
      </c>
      <c r="G5" s="51">
        <f>VLOOKUP($B5,基础表!$A:$AP,COLUMN(基础表!J$1),0)</f>
        <v>-0.12636909669061358</v>
      </c>
      <c r="H5" s="52">
        <f>VLOOKUP($B5,基础表!$A:$AP,COLUMN(基础表!K$1),0)</f>
        <v>8.9068825910931126E-2</v>
      </c>
      <c r="I5" s="53">
        <f>VLOOKUP($B5,基础表!$A:$AP,COLUMN(基础表!L$1),0)</f>
        <v>1.6371499176276894E-2</v>
      </c>
      <c r="J5" s="48">
        <f>VLOOKUP($B5,基础表!$A:$AP,COLUMN(基础表!M$1),0)</f>
        <v>12.553000000000001</v>
      </c>
      <c r="K5" s="49">
        <f>VLOOKUP($B5,基础表!$A:$AP,COLUMN(基础表!N$1),0)</f>
        <v>13.695</v>
      </c>
      <c r="L5" s="52">
        <f>VLOOKUP($B5,基础表!$A:$AP,COLUMN(基础表!O$1),0)</f>
        <v>-8.3388097845929154E-2</v>
      </c>
      <c r="M5" s="49">
        <f>VLOOKUP($B5,基础表!$A:$AP,COLUMN(基础表!P$1),0)</f>
        <v>15.6</v>
      </c>
      <c r="N5" s="53">
        <f>VLOOKUP($B5,基础表!$A:$AP,COLUMN(基础表!Q$1),0)</f>
        <v>0.80467948717948701</v>
      </c>
      <c r="O5" s="53">
        <f>VLOOKUP($B5,基础表!$A:$AP,COLUMN(基础表!R$1),0)</f>
        <v>0.10626941766908309</v>
      </c>
      <c r="P5" s="54">
        <f>VLOOKUP($B5,基础表!$A:$AP,COLUMN(基础表!S$1),0)</f>
        <v>6.8111208476061488E-2</v>
      </c>
      <c r="Q5" s="52">
        <f>VLOOKUP($B5,基础表!$A:$AP,COLUMN(基础表!T$1),0)</f>
        <v>0.14426830239783317</v>
      </c>
      <c r="R5" s="52">
        <f>VLOOKUP($B5,基础表!$A:$AP,COLUMN(基础表!U$1),0)</f>
        <v>9.3364136063092476E-2</v>
      </c>
      <c r="S5" s="52">
        <f>VLOOKUP($B5,基础表!$A:$AP,COLUMN(基础表!V$1),0)</f>
        <v>0.23213574444355931</v>
      </c>
      <c r="T5" s="52">
        <f>VLOOKUP($B5,基础表!$A:$AP,COLUMN(基础表!W$1),0)</f>
        <v>0.13311558989882896</v>
      </c>
      <c r="U5" s="52">
        <f>VLOOKUP($B5,基础表!$A:$AP,COLUMN(基础表!X$1),0)</f>
        <v>0.10117103481239544</v>
      </c>
      <c r="V5" s="53">
        <f>VLOOKUP($B5,基础表!$A:$AP,COLUMN(基础表!Y$1),0)</f>
        <v>0.12156456623914602</v>
      </c>
      <c r="W5" s="48">
        <f>VLOOKUP($B5,基础表!$A:$AP,COLUMN(基础表!Z$1),0)</f>
        <v>1.3340000000000001</v>
      </c>
      <c r="X5" s="49">
        <f>VLOOKUP($B5,基础表!$A:$AP,COLUMN(基础表!AA$1),0)</f>
        <v>0.85499999999999998</v>
      </c>
      <c r="Y5" s="49">
        <f>VLOOKUP($B5,基础表!$A:$AP,COLUMN(基础表!AB$1),0)</f>
        <v>1.8109999999999999</v>
      </c>
      <c r="Z5" s="49">
        <f>VLOOKUP($B5,基础表!$A:$AP,COLUMN(基础表!AC$1),0)</f>
        <v>1.1719999999999999</v>
      </c>
      <c r="AA5" s="49">
        <f>VLOOKUP($B5,基础表!$A:$AP,COLUMN(基础表!AD$1),0)</f>
        <v>2.9140000000000001</v>
      </c>
      <c r="AB5" s="49">
        <f>VLOOKUP($B5,基础表!$A:$AP,COLUMN(基础表!AE$1),0)</f>
        <v>1.671</v>
      </c>
      <c r="AC5" s="49">
        <f>VLOOKUP($B5,基础表!$A:$AP,COLUMN(基础表!AF$1),0)</f>
        <v>1.27</v>
      </c>
      <c r="AD5" s="50">
        <f>VLOOKUP($B5,基础表!$A:$AP,COLUMN(基础表!AG$1),0)</f>
        <v>1.526</v>
      </c>
      <c r="AE5" s="48">
        <f>VLOOKUP($B5,基础表!$A:$AP,COLUMN(基础表!AH$1),0)</f>
        <v>5.52</v>
      </c>
      <c r="AF5" s="91">
        <f>VLOOKUP($B5,基础表!$A:$AP,COLUMN(基础表!AI$1),0)</f>
        <v>4.6609999999999996</v>
      </c>
      <c r="AG5" s="50">
        <f>VLOOKUP($B5,基础表!$A:$AP,COLUMN(基础表!AJ$1),0)</f>
        <v>-0.85899999999999999</v>
      </c>
      <c r="AH5" s="54">
        <f>IF($C5="黑龙电商组(DY)","",VLOOKUP($B5,基础表!$A:$AZ,COLUMN(基础表!AQ$1),0))</f>
        <v>0.78062549395958003</v>
      </c>
      <c r="AI5" s="52">
        <f>IF($C5="黑龙电商组(DY)","",VLOOKUP($B5,基础表!$A:$AZ,COLUMN(基础表!AR$1),0))</f>
        <v>0.97324414715719099</v>
      </c>
      <c r="AJ5" s="53">
        <f>IF($C5="黑龙电商组(DY)","",VLOOKUP($B5,基础表!$A:$AZ,COLUMN(基础表!AS$1),0))</f>
        <v>0.98662207357859499</v>
      </c>
      <c r="AL5" s="8" t="b">
        <f t="shared" ref="AL5:AL34" si="3">1=SUM(O5:V5)</f>
        <v>1</v>
      </c>
      <c r="AM5" s="8" t="b">
        <f t="shared" si="2"/>
        <v>1</v>
      </c>
    </row>
    <row r="6" spans="2:39" x14ac:dyDescent="0.2">
      <c r="B6" s="55">
        <v>2</v>
      </c>
      <c r="C6" s="56" t="str">
        <f>VLOOKUP($B6,基础表!$A:$AP,COLUMN(基础表!E$1),0)</f>
        <v>黑中营业部</v>
      </c>
      <c r="D6" s="57">
        <f>VLOOKUP($B6,基础表!$A:$AP,COLUMN(基础表!G$1),0)</f>
        <v>5.1020000000000003</v>
      </c>
      <c r="E6" s="58">
        <f>VLOOKUP($B6,基础表!$A:$AP,COLUMN(基础表!H$1),0)</f>
        <v>11.263</v>
      </c>
      <c r="F6" s="59">
        <f>VLOOKUP($B6,基础表!$A:$AP,COLUMN(基础表!I$1),0)</f>
        <v>8.2739999999999991</v>
      </c>
      <c r="G6" s="60">
        <f>VLOOKUP($B6,基础表!$A:$AP,COLUMN(基础表!J$1),0)</f>
        <v>-0.1475355054302423</v>
      </c>
      <c r="H6" s="61">
        <f>VLOOKUP($B6,基础表!$A:$AP,COLUMN(基础表!K$1),0)</f>
        <v>-2.0353135600591488E-2</v>
      </c>
      <c r="I6" s="62">
        <f>VLOOKUP($B6,基础表!$A:$AP,COLUMN(基础表!L$1),0)</f>
        <v>-6.5823642316811593E-2</v>
      </c>
      <c r="J6" s="57">
        <f>VLOOKUP($B6,基础表!$A:$AP,COLUMN(基础表!M$1),0)</f>
        <v>7.4669999999999996</v>
      </c>
      <c r="K6" s="58">
        <f>VLOOKUP($B6,基础表!$A:$AP,COLUMN(基础表!N$1),0)</f>
        <v>10.516999999999999</v>
      </c>
      <c r="L6" s="61">
        <f>VLOOKUP($B6,基础表!$A:$AP,COLUMN(基础表!O$1),0)</f>
        <v>-0.29000665589046304</v>
      </c>
      <c r="M6" s="58">
        <f>VLOOKUP($B6,基础表!$A:$AP,COLUMN(基础表!P$1),0)</f>
        <v>9.8000000000000007</v>
      </c>
      <c r="N6" s="62">
        <f>VLOOKUP($B6,基础表!$A:$AP,COLUMN(基础表!Q$1),0)</f>
        <v>0.76193877551020406</v>
      </c>
      <c r="O6" s="62">
        <f>VLOOKUP($B6,基础表!$A:$AP,COLUMN(基础表!R$1),0)</f>
        <v>0.15575197535824295</v>
      </c>
      <c r="P6" s="63">
        <f>VLOOKUP($B6,基础表!$A:$AP,COLUMN(基础表!S$1),0)</f>
        <v>0.13459220570510244</v>
      </c>
      <c r="Q6" s="61">
        <f>VLOOKUP($B6,基础表!$A:$AP,COLUMN(基础表!T$1),0)</f>
        <v>0.17061738315253785</v>
      </c>
      <c r="R6" s="61">
        <f>VLOOKUP($B6,基础表!$A:$AP,COLUMN(基础表!U$1),0)</f>
        <v>0.13619927681799918</v>
      </c>
      <c r="S6" s="61">
        <f>VLOOKUP($B6,基础表!$A:$AP,COLUMN(基础表!V$1),0)</f>
        <v>0.13847596089460293</v>
      </c>
      <c r="T6" s="61">
        <f>VLOOKUP($B6,基础表!$A:$AP,COLUMN(基础表!W$1),0)</f>
        <v>0.13472612829784386</v>
      </c>
      <c r="U6" s="61">
        <f>VLOOKUP($B6,基础表!$A:$AP,COLUMN(基础表!X$1),0)</f>
        <v>0.12963706977367082</v>
      </c>
      <c r="V6" s="62">
        <f>VLOOKUP($B6,基础表!$A:$AP,COLUMN(基础表!Y$1),0)</f>
        <v>0</v>
      </c>
      <c r="W6" s="57">
        <f>VLOOKUP($B6,基础表!$A:$AP,COLUMN(基础表!Z$1),0)</f>
        <v>1.163</v>
      </c>
      <c r="X6" s="58">
        <f>VLOOKUP($B6,基础表!$A:$AP,COLUMN(基础表!AA$1),0)</f>
        <v>1.0049999999999999</v>
      </c>
      <c r="Y6" s="58">
        <f>VLOOKUP($B6,基础表!$A:$AP,COLUMN(基础表!AB$1),0)</f>
        <v>1.274</v>
      </c>
      <c r="Z6" s="58">
        <f>VLOOKUP($B6,基础表!$A:$AP,COLUMN(基础表!AC$1),0)</f>
        <v>1.0169999999999999</v>
      </c>
      <c r="AA6" s="58">
        <f>VLOOKUP($B6,基础表!$A:$AP,COLUMN(基础表!AD$1),0)</f>
        <v>1.034</v>
      </c>
      <c r="AB6" s="58">
        <f>VLOOKUP($B6,基础表!$A:$AP,COLUMN(基础表!AE$1),0)</f>
        <v>1.006</v>
      </c>
      <c r="AC6" s="58">
        <f>VLOOKUP($B6,基础表!$A:$AP,COLUMN(基础表!AF$1),0)</f>
        <v>0.96799999999999997</v>
      </c>
      <c r="AD6" s="59">
        <f>VLOOKUP($B6,基础表!$A:$AP,COLUMN(基础表!AG$1),0)</f>
        <v>0</v>
      </c>
      <c r="AE6" s="57">
        <f>VLOOKUP($B6,基础表!$A:$AP,COLUMN(基础表!AH$1),0)</f>
        <v>9.1720000000000006</v>
      </c>
      <c r="AF6" s="92">
        <f>VLOOKUP($B6,基础表!$A:$AP,COLUMN(基础表!AI$1),0)</f>
        <v>8.9049999999999994</v>
      </c>
      <c r="AG6" s="59">
        <f>VLOOKUP($B6,基础表!$A:$AP,COLUMN(基础表!AJ$1),0)</f>
        <v>-0.26700000000000124</v>
      </c>
      <c r="AH6" s="63">
        <f>IF($C6="黑龙电商组(DY)","",VLOOKUP($B6,基础表!$A:$AZ,COLUMN(基础表!AQ$1),0))</f>
        <v>0.828043315907394</v>
      </c>
      <c r="AI6" s="61">
        <f>IF($C6="黑龙电商组(DY)","",VLOOKUP($B6,基础表!$A:$AZ,COLUMN(基础表!AR$1),0))</f>
        <v>0.94315789473684208</v>
      </c>
      <c r="AJ6" s="62">
        <f>IF($C6="黑龙电商组(DY)","",VLOOKUP($B6,基础表!$A:$AZ,COLUMN(基础表!AS$1),0))</f>
        <v>0.995789473684211</v>
      </c>
      <c r="AL6" s="8" t="b">
        <f t="shared" si="3"/>
        <v>1</v>
      </c>
      <c r="AM6" s="8" t="b">
        <f t="shared" si="2"/>
        <v>1</v>
      </c>
    </row>
    <row r="7" spans="2:39" x14ac:dyDescent="0.2">
      <c r="B7" s="55">
        <v>3</v>
      </c>
      <c r="C7" s="56" t="str">
        <f>VLOOKUP($B7,基础表!$A:$AP,COLUMN(基础表!E$1),0)</f>
        <v>黑东营业部</v>
      </c>
      <c r="D7" s="57">
        <f>VLOOKUP($B7,基础表!$A:$AP,COLUMN(基础表!G$1),0)</f>
        <v>6.7779999999999996</v>
      </c>
      <c r="E7" s="58">
        <f>VLOOKUP($B7,基础表!$A:$AP,COLUMN(基础表!H$1),0)</f>
        <v>10.417999999999999</v>
      </c>
      <c r="F7" s="59">
        <f>VLOOKUP($B7,基础表!$A:$AP,COLUMN(基础表!I$1),0)</f>
        <v>7.7939999999999996</v>
      </c>
      <c r="G7" s="60">
        <f>VLOOKUP($B7,基础表!$A:$AP,COLUMN(基础表!J$1),0)</f>
        <v>-9.9508436296001035E-2</v>
      </c>
      <c r="H7" s="61">
        <f>VLOOKUP($B7,基础表!$A:$AP,COLUMN(基础表!K$1),0)</f>
        <v>-2.6718983557548759E-2</v>
      </c>
      <c r="I7" s="62">
        <f>VLOOKUP($B7,基础表!$A:$AP,COLUMN(基础表!L$1),0)</f>
        <v>-5.0207165488666772E-2</v>
      </c>
      <c r="J7" s="57">
        <f>VLOOKUP($B7,基础表!$A:$AP,COLUMN(基础表!M$1),0)</f>
        <v>7.5140000000000002</v>
      </c>
      <c r="K7" s="58">
        <f>VLOOKUP($B7,基础表!$A:$AP,COLUMN(基础表!N$1),0)</f>
        <v>10.028</v>
      </c>
      <c r="L7" s="61">
        <f>VLOOKUP($B7,基础表!$A:$AP,COLUMN(基础表!O$1),0)</f>
        <v>-0.25069804547267649</v>
      </c>
      <c r="M7" s="58">
        <f>VLOOKUP($B7,基础表!$A:$AP,COLUMN(基础表!P$1),0)</f>
        <v>9.9</v>
      </c>
      <c r="N7" s="62">
        <f>VLOOKUP($B7,基础表!$A:$AP,COLUMN(基础表!Q$1),0)</f>
        <v>0.75898989898989899</v>
      </c>
      <c r="O7" s="62">
        <f>VLOOKUP($B7,基础表!$A:$AP,COLUMN(基础表!R$1),0)</f>
        <v>0.19683257918552036</v>
      </c>
      <c r="P7" s="63">
        <f>VLOOKUP($B7,基础表!$A:$AP,COLUMN(基础表!S$1),0)</f>
        <v>0.1225712004258717</v>
      </c>
      <c r="Q7" s="61">
        <f>VLOOKUP($B7,基础表!$A:$AP,COLUMN(基础表!T$1),0)</f>
        <v>0.14599414426404045</v>
      </c>
      <c r="R7" s="61">
        <f>VLOOKUP($B7,基础表!$A:$AP,COLUMN(基础表!U$1),0)</f>
        <v>0.11338834176204418</v>
      </c>
      <c r="S7" s="61">
        <f>VLOOKUP($B7,基础表!$A:$AP,COLUMN(基础表!V$1),0)</f>
        <v>0.12895927601809953</v>
      </c>
      <c r="T7" s="61">
        <f>VLOOKUP($B7,基础表!$A:$AP,COLUMN(基础表!W$1),0)</f>
        <v>0.15597551237689644</v>
      </c>
      <c r="U7" s="61">
        <f>VLOOKUP($B7,基础表!$A:$AP,COLUMN(基础表!X$1),0)</f>
        <v>0.13627894596752729</v>
      </c>
      <c r="V7" s="62">
        <f>VLOOKUP($B7,基础表!$A:$AP,COLUMN(基础表!Y$1),0)</f>
        <v>0</v>
      </c>
      <c r="W7" s="57">
        <f>VLOOKUP($B7,基础表!$A:$AP,COLUMN(基础表!Z$1),0)</f>
        <v>1.4790000000000001</v>
      </c>
      <c r="X7" s="58">
        <f>VLOOKUP($B7,基础表!$A:$AP,COLUMN(基础表!AA$1),0)</f>
        <v>0.92100000000000004</v>
      </c>
      <c r="Y7" s="58">
        <f>VLOOKUP($B7,基础表!$A:$AP,COLUMN(基础表!AB$1),0)</f>
        <v>1.097</v>
      </c>
      <c r="Z7" s="58">
        <f>VLOOKUP($B7,基础表!$A:$AP,COLUMN(基础表!AC$1),0)</f>
        <v>0.85199999999999998</v>
      </c>
      <c r="AA7" s="58">
        <f>VLOOKUP($B7,基础表!$A:$AP,COLUMN(基础表!AD$1),0)</f>
        <v>0.96899999999999997</v>
      </c>
      <c r="AB7" s="58">
        <f>VLOOKUP($B7,基础表!$A:$AP,COLUMN(基础表!AE$1),0)</f>
        <v>1.1719999999999999</v>
      </c>
      <c r="AC7" s="58">
        <f>VLOOKUP($B7,基础表!$A:$AP,COLUMN(基础表!AF$1),0)</f>
        <v>1.024</v>
      </c>
      <c r="AD7" s="59">
        <f>VLOOKUP($B7,基础表!$A:$AP,COLUMN(基础表!AG$1),0)</f>
        <v>0</v>
      </c>
      <c r="AE7" s="57">
        <f>VLOOKUP($B7,基础表!$A:$AP,COLUMN(基础表!AH$1),0)</f>
        <v>10.843</v>
      </c>
      <c r="AF7" s="92">
        <f>VLOOKUP($B7,基础表!$A:$AP,COLUMN(基础表!AI$1),0)</f>
        <v>9.6774999999999984</v>
      </c>
      <c r="AG7" s="59">
        <f>VLOOKUP($B7,基础表!$A:$AP,COLUMN(基础表!AJ$1),0)</f>
        <v>-1.1655000000000015</v>
      </c>
      <c r="AH7" s="63">
        <f>IF($C7="黑龙电商组(DY)","",VLOOKUP($B7,基础表!$A:$AZ,COLUMN(基础表!AQ$1),0))</f>
        <v>0.54981441687829702</v>
      </c>
      <c r="AI7" s="61">
        <f>IF($C7="黑龙电商组(DY)","",VLOOKUP($B7,基础表!$A:$AZ,COLUMN(基础表!AR$1),0))</f>
        <v>0.82022471910112404</v>
      </c>
      <c r="AJ7" s="62">
        <f>IF($C7="黑龙电商组(DY)","",VLOOKUP($B7,基础表!$A:$AZ,COLUMN(基础表!AS$1),0))</f>
        <v>0.99625468164793995</v>
      </c>
      <c r="AL7" s="8" t="b">
        <f t="shared" si="3"/>
        <v>1</v>
      </c>
      <c r="AM7" s="8" t="b">
        <f t="shared" si="2"/>
        <v>1</v>
      </c>
    </row>
    <row r="8" spans="2:39" x14ac:dyDescent="0.2">
      <c r="B8" s="64">
        <v>4</v>
      </c>
      <c r="C8" s="65" t="str">
        <f>VLOOKUP($B8,基础表!$A:$AP,COLUMN(基础表!E$1),0)</f>
        <v>黑西营业部</v>
      </c>
      <c r="D8" s="66">
        <f>VLOOKUP($B8,基础表!$A:$AP,COLUMN(基础表!G$1),0)</f>
        <v>4.72</v>
      </c>
      <c r="E8" s="67">
        <f>VLOOKUP($B8,基础表!$A:$AP,COLUMN(基础表!H$1),0)</f>
        <v>8.9269999999999996</v>
      </c>
      <c r="F8" s="68">
        <f>VLOOKUP($B8,基础表!$A:$AP,COLUMN(基础表!I$1),0)</f>
        <v>6.71</v>
      </c>
      <c r="G8" s="69">
        <f>VLOOKUP($B8,基础表!$A:$AP,COLUMN(基础表!J$1),0)</f>
        <v>-9.8376313276026806E-2</v>
      </c>
      <c r="H8" s="70">
        <f>VLOOKUP($B8,基础表!$A:$AP,COLUMN(基础表!K$1),0)</f>
        <v>1.6163915765509351E-2</v>
      </c>
      <c r="I8" s="71">
        <f>VLOOKUP($B8,基础表!$A:$AP,COLUMN(基础表!L$1),0)</f>
        <v>-5.6258790436005679E-2</v>
      </c>
      <c r="J8" s="66">
        <f>VLOOKUP($B8,基础表!$A:$AP,COLUMN(基础表!M$1),0)</f>
        <v>8.26</v>
      </c>
      <c r="K8" s="67">
        <f>VLOOKUP($B8,基础表!$A:$AP,COLUMN(基础表!N$1),0)</f>
        <v>11.04</v>
      </c>
      <c r="L8" s="70">
        <f>VLOOKUP($B8,基础表!$A:$AP,COLUMN(基础表!O$1),0)</f>
        <v>-0.25181159420289856</v>
      </c>
      <c r="M8" s="67">
        <f>VLOOKUP($B8,基础表!$A:$AP,COLUMN(基础表!P$1),0)</f>
        <v>11</v>
      </c>
      <c r="N8" s="71">
        <f>VLOOKUP($B8,基础表!$A:$AP,COLUMN(基础表!Q$1),0)</f>
        <v>0.75090909090909097</v>
      </c>
      <c r="O8" s="71">
        <f>VLOOKUP($B8,基础表!$A:$AP,COLUMN(基础表!R$1),0)</f>
        <v>0.17820823244552059</v>
      </c>
      <c r="P8" s="72">
        <f>VLOOKUP($B8,基础表!$A:$AP,COLUMN(基础表!S$1),0)</f>
        <v>0.11476997578692494</v>
      </c>
      <c r="Q8" s="70">
        <f>VLOOKUP($B8,基础表!$A:$AP,COLUMN(基础表!T$1),0)</f>
        <v>0.17288135593220338</v>
      </c>
      <c r="R8" s="70">
        <f>VLOOKUP($B8,基础表!$A:$AP,COLUMN(基础表!U$1),0)</f>
        <v>0.1357142857142857</v>
      </c>
      <c r="S8" s="70">
        <f>VLOOKUP($B8,基础表!$A:$AP,COLUMN(基础表!V$1),0)</f>
        <v>0.15302663438256658</v>
      </c>
      <c r="T8" s="70">
        <f>VLOOKUP($B8,基础表!$A:$AP,COLUMN(基础表!W$1),0)</f>
        <v>0.13922518159806294</v>
      </c>
      <c r="U8" s="70">
        <f>VLOOKUP($B8,基础表!$A:$AP,COLUMN(基础表!X$1),0)</f>
        <v>0.10617433414043584</v>
      </c>
      <c r="V8" s="71">
        <f>VLOOKUP($B8,基础表!$A:$AP,COLUMN(基础表!Y$1),0)</f>
        <v>0</v>
      </c>
      <c r="W8" s="66">
        <f>VLOOKUP($B8,基础表!$A:$AP,COLUMN(基础表!Z$1),0)</f>
        <v>1.472</v>
      </c>
      <c r="X8" s="67">
        <f>VLOOKUP($B8,基础表!$A:$AP,COLUMN(基础表!AA$1),0)</f>
        <v>0.94799999999999995</v>
      </c>
      <c r="Y8" s="67">
        <f>VLOOKUP($B8,基础表!$A:$AP,COLUMN(基础表!AB$1),0)</f>
        <v>1.4279999999999999</v>
      </c>
      <c r="Z8" s="67">
        <f>VLOOKUP($B8,基础表!$A:$AP,COLUMN(基础表!AC$1),0)</f>
        <v>1.121</v>
      </c>
      <c r="AA8" s="67">
        <f>VLOOKUP($B8,基础表!$A:$AP,COLUMN(基础表!AD$1),0)</f>
        <v>1.264</v>
      </c>
      <c r="AB8" s="67">
        <f>VLOOKUP($B8,基础表!$A:$AP,COLUMN(基础表!AE$1),0)</f>
        <v>1.1499999999999999</v>
      </c>
      <c r="AC8" s="67">
        <f>VLOOKUP($B8,基础表!$A:$AP,COLUMN(基础表!AF$1),0)</f>
        <v>0.877</v>
      </c>
      <c r="AD8" s="68">
        <f>VLOOKUP($B8,基础表!$A:$AP,COLUMN(基础表!AG$1),0)</f>
        <v>0</v>
      </c>
      <c r="AE8" s="66">
        <f>VLOOKUP($B8,基础表!$A:$AP,COLUMN(基础表!AH$1),0)</f>
        <v>9.8829999999999991</v>
      </c>
      <c r="AF8" s="93">
        <f>VLOOKUP($B8,基础表!$A:$AP,COLUMN(基础表!AI$1),0)</f>
        <v>10.154999999999999</v>
      </c>
      <c r="AG8" s="68">
        <f>VLOOKUP($B8,基础表!$A:$AP,COLUMN(基础表!AJ$1),0)</f>
        <v>0.27200000000000024</v>
      </c>
      <c r="AH8" s="72">
        <f>IF($C8="黑龙电商组(DY)","",VLOOKUP($B8,基础表!$A:$AZ,COLUMN(基础表!AQ$1),0))</f>
        <v>0.63737005535304403</v>
      </c>
      <c r="AI8" s="70">
        <f>IF($C8="黑龙电商组(DY)","",VLOOKUP($B8,基础表!$A:$AZ,COLUMN(基础表!AR$1),0))</f>
        <v>0.91304347826086996</v>
      </c>
      <c r="AJ8" s="71">
        <f>IF($C8="黑龙电商组(DY)","",VLOOKUP($B8,基础表!$A:$AZ,COLUMN(基础表!AS$1),0))</f>
        <v>1</v>
      </c>
      <c r="AL8" s="8" t="b">
        <f t="shared" si="3"/>
        <v>1</v>
      </c>
      <c r="AM8" s="8" t="b">
        <f t="shared" si="2"/>
        <v>1</v>
      </c>
    </row>
    <row r="9" spans="2:39" x14ac:dyDescent="0.2">
      <c r="B9" s="128">
        <v>1</v>
      </c>
      <c r="C9" s="129" t="str">
        <f>VLOOKUP($B9,基础表!$C:$AP,COLUMN(基础表!F$1)-2,0)</f>
        <v>哈尔滨OT所</v>
      </c>
      <c r="D9" s="32">
        <f>VLOOKUP($B9,基础表!$C:$AP,COLUMN(基础表!G$1)-2,0)</f>
        <v>0.86299999999999999</v>
      </c>
      <c r="E9" s="33">
        <f>VLOOKUP($B9,基础表!$C:$AP,COLUMN(基础表!H$1)-2,0)</f>
        <v>2.17</v>
      </c>
      <c r="F9" s="34">
        <f>VLOOKUP($B9,基础表!$C:$AP,COLUMN(基础表!I$1)-2,0)</f>
        <v>1.2769999999999999</v>
      </c>
      <c r="G9" s="35">
        <f>VLOOKUP($B9,基础表!$C:$AP,COLUMN(基础表!J$1)-2,0)</f>
        <v>-0.49825581395348839</v>
      </c>
      <c r="H9" s="36">
        <f>VLOOKUP($B9,基础表!$C:$AP,COLUMN(基础表!K$1)-2,0)</f>
        <v>2.333333333333333</v>
      </c>
      <c r="I9" s="37">
        <f>VLOOKUP($B9,基础表!$C:$AP,COLUMN(基础表!L$1)-2,0)</f>
        <v>0.18131359851988904</v>
      </c>
      <c r="J9" s="32">
        <f>VLOOKUP($B9,基础表!$C:$AP,COLUMN(基础表!M$1)-2,0)</f>
        <v>4.149</v>
      </c>
      <c r="K9" s="33">
        <f>VLOOKUP($B9,基础表!$C:$AP,COLUMN(基础表!N$1)-2,0)</f>
        <v>1.208</v>
      </c>
      <c r="L9" s="36">
        <f>VLOOKUP($B9,基础表!$C:$AP,COLUMN(基础表!O$1)-2,0)</f>
        <v>2.4346026490066226</v>
      </c>
      <c r="M9" s="33">
        <f>VLOOKUP($B9,基础表!$C:$AP,COLUMN(基础表!P$1)-2,0)</f>
        <v>1.573</v>
      </c>
      <c r="N9" s="37">
        <f>VLOOKUP($B9,基础表!$C:$AP,COLUMN(基础表!Q$1)-2,0)</f>
        <v>2.6376350921805498</v>
      </c>
      <c r="O9" s="37">
        <f>VLOOKUP($B9,基础表!$C:$AP,COLUMN(基础表!R$1)-2,0)</f>
        <v>0</v>
      </c>
      <c r="P9" s="38">
        <f>VLOOKUP($B9,基础表!$C:$AP,COLUMN(基础表!S$1)-2,0)</f>
        <v>5.5435044589057601E-3</v>
      </c>
      <c r="Q9" s="36">
        <f>VLOOKUP($B9,基础表!$C:$AP,COLUMN(基础表!T$1)-2,0)</f>
        <v>7.8573150156664259E-2</v>
      </c>
      <c r="R9" s="36">
        <f>VLOOKUP($B9,基础表!$C:$AP,COLUMN(基础表!U$1)-2,0)</f>
        <v>0</v>
      </c>
      <c r="S9" s="36">
        <f>VLOOKUP($B9,基础表!$C:$AP,COLUMN(基础表!V$1)-2,0)</f>
        <v>0.43142926006266569</v>
      </c>
      <c r="T9" s="36">
        <f>VLOOKUP($B9,基础表!$C:$AP,COLUMN(基础表!W$1)-2,0)</f>
        <v>0.12051096649795132</v>
      </c>
      <c r="U9" s="36">
        <f>VLOOKUP($B9,基础表!$C:$AP,COLUMN(基础表!X$1)-2,0)</f>
        <v>0</v>
      </c>
      <c r="V9" s="37">
        <f>VLOOKUP($B9,基础表!$C:$AP,COLUMN(基础表!Y$1)-2,0)</f>
        <v>0.36394311882381297</v>
      </c>
      <c r="W9" s="32">
        <f>VLOOKUP($B9,基础表!$C:$AP,COLUMN(基础表!Z$1)-2,0)</f>
        <v>0</v>
      </c>
      <c r="X9" s="33">
        <f>VLOOKUP($B9,基础表!$C:$AP,COLUMN(基础表!AA$1)-2,0)</f>
        <v>2.3E-2</v>
      </c>
      <c r="Y9" s="33">
        <f>VLOOKUP($B9,基础表!$C:$AP,COLUMN(基础表!AB$1)-2,0)</f>
        <v>0.32600000000000001</v>
      </c>
      <c r="Z9" s="33">
        <f>VLOOKUP($B9,基础表!$C:$AP,COLUMN(基础表!AC$1)-2,0)</f>
        <v>0</v>
      </c>
      <c r="AA9" s="33">
        <f>VLOOKUP($B9,基础表!$C:$AP,COLUMN(基础表!AD$1)-2,0)</f>
        <v>1.79</v>
      </c>
      <c r="AB9" s="33">
        <f>VLOOKUP($B9,基础表!$C:$AP,COLUMN(基础表!AE$1)-2,0)</f>
        <v>0.5</v>
      </c>
      <c r="AC9" s="33">
        <f>VLOOKUP($B9,基础表!$C:$AP,COLUMN(基础表!AF$1)-2,0)</f>
        <v>0</v>
      </c>
      <c r="AD9" s="34">
        <f>VLOOKUP($B9,基础表!$C:$AP,COLUMN(基础表!AG$1)-2,0)</f>
        <v>1.51</v>
      </c>
      <c r="AE9" s="32">
        <f>VLOOKUP($B9,基础表!$C:$AP,COLUMN(基础表!AH$1)-2,0)</f>
        <v>0</v>
      </c>
      <c r="AF9" s="94">
        <f>VLOOKUP($B9,基础表!$C:$AP,COLUMN(基础表!AI$1)-2,0)</f>
        <v>0</v>
      </c>
      <c r="AG9" s="34">
        <f>VLOOKUP($B9,基础表!$C:$AP,COLUMN(基础表!AJ$1)-2,0)</f>
        <v>0</v>
      </c>
      <c r="AH9" s="38" t="str">
        <f>IF($C9="哈尔滨OT所","",VLOOKUP($B9,基础表!$C:$AZ,COLUMN(基础表!AQ$1)-2,0))</f>
        <v/>
      </c>
      <c r="AI9" s="36" t="str">
        <f>IF($C9="哈尔滨OT所","",VLOOKUP($B9,基础表!$C:$AZ,COLUMN(基础表!AR$1)-2,0))</f>
        <v/>
      </c>
      <c r="AJ9" s="37" t="str">
        <f>IF($C9="哈尔滨OT所","",VLOOKUP($B9,基础表!$C:$AZ,COLUMN(基础表!AS$1)-2,0))</f>
        <v/>
      </c>
      <c r="AL9" s="8" t="b">
        <f t="shared" si="3"/>
        <v>1</v>
      </c>
      <c r="AM9" s="8" t="b">
        <f t="shared" si="2"/>
        <v>1</v>
      </c>
    </row>
    <row r="10" spans="2:39" x14ac:dyDescent="0.2">
      <c r="B10" s="130">
        <v>2</v>
      </c>
      <c r="C10" s="125" t="str">
        <f>VLOOKUP($B10,基础表!$C:$AP,COLUMN(基础表!F$1)-2,0)</f>
        <v>海伦外埠所</v>
      </c>
      <c r="D10" s="16">
        <f>VLOOKUP($B10,基础表!$C:$AP,COLUMN(基础表!G$1)-2,0)</f>
        <v>1.004</v>
      </c>
      <c r="E10" s="17">
        <f>VLOOKUP($B10,基础表!$C:$AP,COLUMN(基础表!H$1)-2,0)</f>
        <v>2.5910000000000002</v>
      </c>
      <c r="F10" s="18">
        <f>VLOOKUP($B10,基础表!$C:$AP,COLUMN(基础表!I$1)-2,0)</f>
        <v>2.58</v>
      </c>
      <c r="G10" s="19">
        <f>VLOOKUP($B10,基础表!$C:$AP,COLUMN(基础表!J$1)-2,0)</f>
        <v>-0.14698385726423113</v>
      </c>
      <c r="H10" s="20">
        <f>VLOOKUP($B10,基础表!$C:$AP,COLUMN(基础表!K$1)-2,0)</f>
        <v>-3.4649776453055114E-2</v>
      </c>
      <c r="I10" s="21">
        <f>VLOOKUP($B10,基础表!$C:$AP,COLUMN(基础表!L$1)-2,0)</f>
        <v>-0.13509889373114314</v>
      </c>
      <c r="J10" s="16">
        <f>VLOOKUP($B10,基础表!$C:$AP,COLUMN(基础表!M$1)-2,0)</f>
        <v>2.0710000000000002</v>
      </c>
      <c r="K10" s="17">
        <f>VLOOKUP($B10,基础表!$C:$AP,COLUMN(基础表!N$1)-2,0)</f>
        <v>2.34</v>
      </c>
      <c r="L10" s="20">
        <f>VLOOKUP($B10,基础表!$C:$AP,COLUMN(基础表!O$1)-2,0)</f>
        <v>-0.11495726495726488</v>
      </c>
      <c r="M10" s="17">
        <f>VLOOKUP($B10,基础表!$C:$AP,COLUMN(基础表!P$1)-2,0)</f>
        <v>1.8680000000000001</v>
      </c>
      <c r="N10" s="21">
        <f>VLOOKUP($B10,基础表!$C:$AP,COLUMN(基础表!Q$1)-2,0)</f>
        <v>1.1086723768736599</v>
      </c>
      <c r="O10" s="21">
        <f>VLOOKUP($B10,基础表!$C:$AP,COLUMN(基础表!R$1)-2,0)</f>
        <v>0.17141477547078704</v>
      </c>
      <c r="P10" s="22">
        <f>VLOOKUP($B10,基础表!$C:$AP,COLUMN(基础表!S$1)-2,0)</f>
        <v>0.12554321583775954</v>
      </c>
      <c r="Q10" s="20">
        <f>VLOOKUP($B10,基础表!$C:$AP,COLUMN(基础表!T$1)-2,0)</f>
        <v>0.14292612264606469</v>
      </c>
      <c r="R10" s="20">
        <f>VLOOKUP($B10,基础表!$C:$AP,COLUMN(基础表!U$1)-2,0)</f>
        <v>0.1183003380009657</v>
      </c>
      <c r="S10" s="20">
        <f>VLOOKUP($B10,基础表!$C:$AP,COLUMN(基础表!V$1)-2,0)</f>
        <v>0.14002897151134716</v>
      </c>
      <c r="T10" s="20">
        <f>VLOOKUP($B10,基础表!$C:$AP,COLUMN(基础表!W$1)-2,0)</f>
        <v>0.1521004345726702</v>
      </c>
      <c r="U10" s="20">
        <f>VLOOKUP($B10,基础表!$C:$AP,COLUMN(基础表!X$1)-2,0)</f>
        <v>0.14968614196040558</v>
      </c>
      <c r="V10" s="21">
        <f>VLOOKUP($B10,基础表!$C:$AP,COLUMN(基础表!Y$1)-2,0)</f>
        <v>0</v>
      </c>
      <c r="W10" s="16">
        <f>VLOOKUP($B10,基础表!$C:$AP,COLUMN(基础表!Z$1)-2,0)</f>
        <v>0.35499999999999998</v>
      </c>
      <c r="X10" s="17">
        <f>VLOOKUP($B10,基础表!$C:$AP,COLUMN(基础表!AA$1)-2,0)</f>
        <v>0.26</v>
      </c>
      <c r="Y10" s="17">
        <f>VLOOKUP($B10,基础表!$C:$AP,COLUMN(基础表!AB$1)-2,0)</f>
        <v>0.29599999999999999</v>
      </c>
      <c r="Z10" s="17">
        <f>VLOOKUP($B10,基础表!$C:$AP,COLUMN(基础表!AC$1)-2,0)</f>
        <v>0.245</v>
      </c>
      <c r="AA10" s="17">
        <f>VLOOKUP($B10,基础表!$C:$AP,COLUMN(基础表!AD$1)-2,0)</f>
        <v>0.28999999999999998</v>
      </c>
      <c r="AB10" s="17">
        <f>VLOOKUP($B10,基础表!$C:$AP,COLUMN(基础表!AE$1)-2,0)</f>
        <v>0.315</v>
      </c>
      <c r="AC10" s="17">
        <f>VLOOKUP($B10,基础表!$C:$AP,COLUMN(基础表!AF$1)-2,0)</f>
        <v>0.31</v>
      </c>
      <c r="AD10" s="18">
        <f>VLOOKUP($B10,基础表!$C:$AP,COLUMN(基础表!AG$1)-2,0)</f>
        <v>0</v>
      </c>
      <c r="AE10" s="16">
        <f>VLOOKUP($B10,基础表!$C:$AP,COLUMN(基础表!AH$1)-2,0)</f>
        <v>2.4239999999999999</v>
      </c>
      <c r="AF10" s="95">
        <f>VLOOKUP($B10,基础表!$C:$AP,COLUMN(基础表!AI$1)-2,0)</f>
        <v>2.35</v>
      </c>
      <c r="AG10" s="18">
        <f>VLOOKUP($B10,基础表!$C:$AP,COLUMN(基础表!AJ$1)-2,0)</f>
        <v>-7.3999999999999844E-2</v>
      </c>
      <c r="AH10" s="22">
        <f>IF($C10="哈尔滨OT所","",VLOOKUP($B10,基础表!$C:$AZ,COLUMN(基础表!AQ$1)-2,0))</f>
        <v>0.86951631046119204</v>
      </c>
      <c r="AI10" s="20">
        <f>IF($C10="哈尔滨OT所","",VLOOKUP($B10,基础表!$C:$AZ,COLUMN(基础表!AR$1)-2,0))</f>
        <v>0.93333333333333302</v>
      </c>
      <c r="AJ10" s="21">
        <f>IF($C10="哈尔滨OT所","",VLOOKUP($B10,基础表!$C:$AZ,COLUMN(基础表!AS$1)-2,0))</f>
        <v>1</v>
      </c>
      <c r="AL10" s="8" t="b">
        <f t="shared" si="3"/>
        <v>1</v>
      </c>
      <c r="AM10" s="8" t="b">
        <f t="shared" si="2"/>
        <v>1</v>
      </c>
    </row>
    <row r="11" spans="2:39" x14ac:dyDescent="0.2">
      <c r="B11" s="130">
        <v>3</v>
      </c>
      <c r="C11" s="125" t="str">
        <f>VLOOKUP($B11,基础表!$C:$AP,COLUMN(基础表!F$1)-2,0)</f>
        <v>伊春外埠所</v>
      </c>
      <c r="D11" s="16">
        <f>VLOOKUP($B11,基础表!$C:$AP,COLUMN(基础表!G$1)-2,0)</f>
        <v>0.86899999999999999</v>
      </c>
      <c r="E11" s="17">
        <f>VLOOKUP($B11,基础表!$C:$AP,COLUMN(基础表!H$1)-2,0)</f>
        <v>1.8839999999999999</v>
      </c>
      <c r="F11" s="18">
        <f>VLOOKUP($B11,基础表!$C:$AP,COLUMN(基础表!I$1)-2,0)</f>
        <v>1.262</v>
      </c>
      <c r="G11" s="19">
        <f>VLOOKUP($B11,基础表!$C:$AP,COLUMN(基础表!J$1)-2,0)</f>
        <v>-0.14215202369200386</v>
      </c>
      <c r="H11" s="20">
        <f>VLOOKUP($B11,基础表!$C:$AP,COLUMN(基础表!K$1)-2,0)</f>
        <v>1.6729627630868826E-2</v>
      </c>
      <c r="I11" s="21">
        <f>VLOOKUP($B11,基础表!$C:$AP,COLUMN(基础表!L$1)-2,0)</f>
        <v>0.12078152753108351</v>
      </c>
      <c r="J11" s="16">
        <f>VLOOKUP($B11,基础表!$C:$AP,COLUMN(基础表!M$1)-2,0)</f>
        <v>1.55</v>
      </c>
      <c r="K11" s="17">
        <f>VLOOKUP($B11,基础表!$C:$AP,COLUMN(基础表!N$1)-2,0)</f>
        <v>2.0550000000000002</v>
      </c>
      <c r="L11" s="20">
        <f>VLOOKUP($B11,基础表!$C:$AP,COLUMN(基础表!O$1)-2,0)</f>
        <v>-0.24574209245742096</v>
      </c>
      <c r="M11" s="17">
        <f>VLOOKUP($B11,基础表!$C:$AP,COLUMN(基础表!P$1)-2,0)</f>
        <v>1.512</v>
      </c>
      <c r="N11" s="21">
        <f>VLOOKUP($B11,基础表!$C:$AP,COLUMN(基础表!Q$1)-2,0)</f>
        <v>1.02513227513228</v>
      </c>
      <c r="O11" s="21">
        <f>VLOOKUP($B11,基础表!$C:$AP,COLUMN(基础表!R$1)-2,0)</f>
        <v>0.14838709677419354</v>
      </c>
      <c r="P11" s="22">
        <f>VLOOKUP($B11,基础表!$C:$AP,COLUMN(基础表!S$1)-2,0)</f>
        <v>0.15161290322580645</v>
      </c>
      <c r="Q11" s="20">
        <f>VLOOKUP($B11,基础表!$C:$AP,COLUMN(基础表!T$1)-2,0)</f>
        <v>0.15161290322580645</v>
      </c>
      <c r="R11" s="20">
        <f>VLOOKUP($B11,基础表!$C:$AP,COLUMN(基础表!U$1)-2,0)</f>
        <v>0.14516129032258066</v>
      </c>
      <c r="S11" s="20">
        <f>VLOOKUP($B11,基础表!$C:$AP,COLUMN(基础表!V$1)-2,0)</f>
        <v>0.13548387096774192</v>
      </c>
      <c r="T11" s="20">
        <f>VLOOKUP($B11,基础表!$C:$AP,COLUMN(基础表!W$1)-2,0)</f>
        <v>0.13548387096774192</v>
      </c>
      <c r="U11" s="20">
        <f>VLOOKUP($B11,基础表!$C:$AP,COLUMN(基础表!X$1)-2,0)</f>
        <v>0.13225806451612901</v>
      </c>
      <c r="V11" s="21">
        <f>VLOOKUP($B11,基础表!$C:$AP,COLUMN(基础表!Y$1)-2,0)</f>
        <v>0</v>
      </c>
      <c r="W11" s="16">
        <f>VLOOKUP($B11,基础表!$C:$AP,COLUMN(基础表!Z$1)-2,0)</f>
        <v>0.23</v>
      </c>
      <c r="X11" s="17">
        <f>VLOOKUP($B11,基础表!$C:$AP,COLUMN(基础表!AA$1)-2,0)</f>
        <v>0.23499999999999999</v>
      </c>
      <c r="Y11" s="17">
        <f>VLOOKUP($B11,基础表!$C:$AP,COLUMN(基础表!AB$1)-2,0)</f>
        <v>0.23499999999999999</v>
      </c>
      <c r="Z11" s="17">
        <f>VLOOKUP($B11,基础表!$C:$AP,COLUMN(基础表!AC$1)-2,0)</f>
        <v>0.22500000000000001</v>
      </c>
      <c r="AA11" s="17">
        <f>VLOOKUP($B11,基础表!$C:$AP,COLUMN(基础表!AD$1)-2,0)</f>
        <v>0.21</v>
      </c>
      <c r="AB11" s="17">
        <f>VLOOKUP($B11,基础表!$C:$AP,COLUMN(基础表!AE$1)-2,0)</f>
        <v>0.21</v>
      </c>
      <c r="AC11" s="17">
        <f>VLOOKUP($B11,基础表!$C:$AP,COLUMN(基础表!AF$1)-2,0)</f>
        <v>0.20499999999999999</v>
      </c>
      <c r="AD11" s="18">
        <f>VLOOKUP($B11,基础表!$C:$AP,COLUMN(基础表!AG$1)-2,0)</f>
        <v>0</v>
      </c>
      <c r="AE11" s="16">
        <f>VLOOKUP($B11,基础表!$C:$AP,COLUMN(基础表!AH$1)-2,0)</f>
        <v>1.677</v>
      </c>
      <c r="AF11" s="95">
        <f>VLOOKUP($B11,基础表!$C:$AP,COLUMN(基础表!AI$1)-2,0)</f>
        <v>1.6479999999999999</v>
      </c>
      <c r="AG11" s="18">
        <f>VLOOKUP($B11,基础表!$C:$AP,COLUMN(基础表!AJ$1)-2,0)</f>
        <v>-2.9000000000000137E-2</v>
      </c>
      <c r="AH11" s="22">
        <f>IF($C11="哈尔滨OT所","",VLOOKUP($B11,基础表!$C:$AZ,COLUMN(基础表!AQ$1)-2,0))</f>
        <v>0.77693089430894302</v>
      </c>
      <c r="AI11" s="20">
        <f>IF($C11="哈尔滨OT所","",VLOOKUP($B11,基础表!$C:$AZ,COLUMN(基础表!AR$1)-2,0))</f>
        <v>0.93023255813953498</v>
      </c>
      <c r="AJ11" s="21">
        <f>IF($C11="哈尔滨OT所","",VLOOKUP($B11,基础表!$C:$AZ,COLUMN(基础表!AS$1)-2,0))</f>
        <v>1</v>
      </c>
      <c r="AL11" s="8" t="b">
        <f t="shared" si="3"/>
        <v>1</v>
      </c>
      <c r="AM11" s="8" t="b">
        <f t="shared" si="2"/>
        <v>1</v>
      </c>
    </row>
    <row r="12" spans="2:39" x14ac:dyDescent="0.2">
      <c r="B12" s="130">
        <v>4</v>
      </c>
      <c r="C12" s="125" t="str">
        <f>VLOOKUP($B12,基础表!$C:$AP,COLUMN(基础表!F$1)-2,0)</f>
        <v>黑龙电商所(DY)</v>
      </c>
      <c r="D12" s="16">
        <f>VLOOKUP($B12,基础表!$C:$AP,COLUMN(基础表!G$1)-2,0)</f>
        <v>0.10299999999999999</v>
      </c>
      <c r="E12" s="17">
        <f>VLOOKUP($B12,基础表!$C:$AP,COLUMN(基础表!H$1)-2,0)</f>
        <v>0.11</v>
      </c>
      <c r="F12" s="18">
        <f>VLOOKUP($B12,基础表!$C:$AP,COLUMN(基础表!I$1)-2,0)</f>
        <v>0.15</v>
      </c>
      <c r="G12" s="19">
        <f>VLOOKUP($B12,基础表!$C:$AP,COLUMN(基础表!J$1)-2,0)</f>
        <v>2.9999999999999805E-2</v>
      </c>
      <c r="H12" s="20">
        <f>VLOOKUP($B12,基础表!$C:$AP,COLUMN(基础表!K$1)-2,0)</f>
        <v>9.9999999999999867E-2</v>
      </c>
      <c r="I12" s="21">
        <f>VLOOKUP($B12,基础表!$C:$AP,COLUMN(基础表!L$1)-2,0)</f>
        <v>0.49999999999999978</v>
      </c>
      <c r="J12" s="16">
        <f>VLOOKUP($B12,基础表!$C:$AP,COLUMN(基础表!M$1)-2,0)</f>
        <v>0.1</v>
      </c>
      <c r="K12" s="17">
        <f>VLOOKUP($B12,基础表!$C:$AP,COLUMN(基础表!N$1)-2,0)</f>
        <v>0.17</v>
      </c>
      <c r="L12" s="20">
        <f>VLOOKUP($B12,基础表!$C:$AP,COLUMN(基础表!O$1)-2,0)</f>
        <v>-0.41176470588235292</v>
      </c>
      <c r="M12" s="17">
        <f>VLOOKUP($B12,基础表!$C:$AP,COLUMN(基础表!P$1)-2,0)</f>
        <v>0.1</v>
      </c>
      <c r="N12" s="21">
        <f>VLOOKUP($B12,基础表!$C:$AP,COLUMN(基础表!Q$1)-2,0)</f>
        <v>1</v>
      </c>
      <c r="O12" s="21">
        <f>VLOOKUP($B12,基础表!$C:$AP,COLUMN(基础表!R$1)-2,0)</f>
        <v>0</v>
      </c>
      <c r="P12" s="22">
        <f>VLOOKUP($B12,基础表!$C:$AP,COLUMN(基础表!S$1)-2,0)</f>
        <v>0</v>
      </c>
      <c r="Q12" s="20">
        <f>VLOOKUP($B12,基础表!$C:$AP,COLUMN(基础表!T$1)-2,0)</f>
        <v>1</v>
      </c>
      <c r="R12" s="20">
        <f>VLOOKUP($B12,基础表!$C:$AP,COLUMN(基础表!U$1)-2,0)</f>
        <v>0</v>
      </c>
      <c r="S12" s="20">
        <f>VLOOKUP($B12,基础表!$C:$AP,COLUMN(基础表!V$1)-2,0)</f>
        <v>0</v>
      </c>
      <c r="T12" s="20">
        <f>VLOOKUP($B12,基础表!$C:$AP,COLUMN(基础表!W$1)-2,0)</f>
        <v>0</v>
      </c>
      <c r="U12" s="20">
        <f>VLOOKUP($B12,基础表!$C:$AP,COLUMN(基础表!X$1)-2,0)</f>
        <v>0</v>
      </c>
      <c r="V12" s="21">
        <f>VLOOKUP($B12,基础表!$C:$AP,COLUMN(基础表!Y$1)-2,0)</f>
        <v>0</v>
      </c>
      <c r="W12" s="16">
        <f>VLOOKUP($B12,基础表!$C:$AP,COLUMN(基础表!Z$1)-2,0)</f>
        <v>0</v>
      </c>
      <c r="X12" s="17">
        <f>VLOOKUP($B12,基础表!$C:$AP,COLUMN(基础表!AA$1)-2,0)</f>
        <v>0</v>
      </c>
      <c r="Y12" s="17">
        <f>VLOOKUP($B12,基础表!$C:$AP,COLUMN(基础表!AB$1)-2,0)</f>
        <v>0.1</v>
      </c>
      <c r="Z12" s="17">
        <f>VLOOKUP($B12,基础表!$C:$AP,COLUMN(基础表!AC$1)-2,0)</f>
        <v>0</v>
      </c>
      <c r="AA12" s="17">
        <f>VLOOKUP($B12,基础表!$C:$AP,COLUMN(基础表!AD$1)-2,0)</f>
        <v>0</v>
      </c>
      <c r="AB12" s="17">
        <f>VLOOKUP($B12,基础表!$C:$AP,COLUMN(基础表!AE$1)-2,0)</f>
        <v>0</v>
      </c>
      <c r="AC12" s="17">
        <f>VLOOKUP($B12,基础表!$C:$AP,COLUMN(基础表!AF$1)-2,0)</f>
        <v>0</v>
      </c>
      <c r="AD12" s="18">
        <f>VLOOKUP($B12,基础表!$C:$AP,COLUMN(基础表!AG$1)-2,0)</f>
        <v>0</v>
      </c>
      <c r="AE12" s="16">
        <f>VLOOKUP($B12,基础表!$C:$AP,COLUMN(基础表!AH$1)-2,0)</f>
        <v>0</v>
      </c>
      <c r="AF12" s="95">
        <f>VLOOKUP($B12,基础表!$C:$AP,COLUMN(基础表!AI$1)-2,0)</f>
        <v>0</v>
      </c>
      <c r="AG12" s="18">
        <f>VLOOKUP($B12,基础表!$C:$AP,COLUMN(基础表!AJ$1)-2,0)</f>
        <v>0</v>
      </c>
      <c r="AH12" s="22">
        <f>IF($C12="哈尔滨OT所","",VLOOKUP($B12,基础表!$C:$AZ,COLUMN(基础表!AQ$1)-2,0))</f>
        <v>0</v>
      </c>
      <c r="AI12" s="20">
        <f>IF($C12="哈尔滨OT所","",VLOOKUP($B12,基础表!$C:$AZ,COLUMN(基础表!AR$1)-2,0))</f>
        <v>0</v>
      </c>
      <c r="AJ12" s="21">
        <f>IF($C12="哈尔滨OT所","",VLOOKUP($B12,基础表!$C:$AZ,COLUMN(基础表!AS$1)-2,0))</f>
        <v>0</v>
      </c>
      <c r="AL12" s="8" t="b">
        <f t="shared" si="3"/>
        <v>1</v>
      </c>
      <c r="AM12" s="8" t="b">
        <f t="shared" si="2"/>
        <v>1</v>
      </c>
    </row>
    <row r="13" spans="2:39" x14ac:dyDescent="0.2">
      <c r="B13" s="14">
        <v>5</v>
      </c>
      <c r="C13" s="15" t="str">
        <f>VLOOKUP($B13,基础表!$C:$AP,COLUMN(基础表!F$1)-2,0)</f>
        <v>双鸭山城区所</v>
      </c>
      <c r="D13" s="16">
        <f>VLOOKUP($B13,基础表!$C:$AP,COLUMN(基础表!G$1)-2,0)</f>
        <v>0.39100000000000001</v>
      </c>
      <c r="E13" s="17">
        <f>VLOOKUP($B13,基础表!$C:$AP,COLUMN(基础表!H$1)-2,0)</f>
        <v>0.52500000000000002</v>
      </c>
      <c r="F13" s="18">
        <f>VLOOKUP($B13,基础表!$C:$AP,COLUMN(基础表!I$1)-2,0)</f>
        <v>0.379</v>
      </c>
      <c r="G13" s="19">
        <f>VLOOKUP($B13,基础表!$C:$AP,COLUMN(基础表!J$1)-2,0)</f>
        <v>-0.34285714285714275</v>
      </c>
      <c r="H13" s="20">
        <f>VLOOKUP($B13,基础表!$C:$AP,COLUMN(基础表!K$1)-2,0)</f>
        <v>-0.3027888446215139</v>
      </c>
      <c r="I13" s="21">
        <f>VLOOKUP($B13,基础表!$C:$AP,COLUMN(基础表!L$1)-2,0)</f>
        <v>-4.7738693467336724E-2</v>
      </c>
      <c r="J13" s="16">
        <f>VLOOKUP($B13,基础表!$C:$AP,COLUMN(基础表!M$1)-2,0)</f>
        <v>0.44400000000000001</v>
      </c>
      <c r="K13" s="17">
        <f>VLOOKUP($B13,基础表!$C:$AP,COLUMN(基础表!N$1)-2,0)</f>
        <v>0.51100000000000001</v>
      </c>
      <c r="L13" s="20">
        <f>VLOOKUP($B13,基础表!$C:$AP,COLUMN(基础表!O$1)-2,0)</f>
        <v>-0.13111545988258322</v>
      </c>
      <c r="M13" s="17">
        <f>VLOOKUP($B13,基础表!$C:$AP,COLUMN(基础表!P$1)-2,0)</f>
        <v>0.51600000000000001</v>
      </c>
      <c r="N13" s="21">
        <f>VLOOKUP($B13,基础表!$C:$AP,COLUMN(基础表!Q$1)-2,0)</f>
        <v>0.86046511627906996</v>
      </c>
      <c r="O13" s="21">
        <f>VLOOKUP($B13,基础表!$C:$AP,COLUMN(基础表!R$1)-2,0)</f>
        <v>0.25</v>
      </c>
      <c r="P13" s="22">
        <f>VLOOKUP($B13,基础表!$C:$AP,COLUMN(基础表!S$1)-2,0)</f>
        <v>0.1463963963963964</v>
      </c>
      <c r="Q13" s="20">
        <f>VLOOKUP($B13,基础表!$C:$AP,COLUMN(基础表!T$1)-2,0)</f>
        <v>7.8828828828828829E-2</v>
      </c>
      <c r="R13" s="20">
        <f>VLOOKUP($B13,基础表!$C:$AP,COLUMN(基础表!U$1)-2,0)</f>
        <v>0.16891891891891891</v>
      </c>
      <c r="S13" s="20">
        <f>VLOOKUP($B13,基础表!$C:$AP,COLUMN(基础表!V$1)-2,0)</f>
        <v>0.13513513513513511</v>
      </c>
      <c r="T13" s="20">
        <f>VLOOKUP($B13,基础表!$C:$AP,COLUMN(基础表!W$1)-2,0)</f>
        <v>0.15090090090090091</v>
      </c>
      <c r="U13" s="20">
        <f>VLOOKUP($B13,基础表!$C:$AP,COLUMN(基础表!X$1)-2,0)</f>
        <v>6.9819819819819814E-2</v>
      </c>
      <c r="V13" s="21">
        <f>VLOOKUP($B13,基础表!$C:$AP,COLUMN(基础表!Y$1)-2,0)</f>
        <v>0</v>
      </c>
      <c r="W13" s="16">
        <f>VLOOKUP($B13,基础表!$C:$AP,COLUMN(基础表!Z$1)-2,0)</f>
        <v>0.111</v>
      </c>
      <c r="X13" s="17">
        <f>VLOOKUP($B13,基础表!$C:$AP,COLUMN(基础表!AA$1)-2,0)</f>
        <v>6.5000000000000002E-2</v>
      </c>
      <c r="Y13" s="17">
        <f>VLOOKUP($B13,基础表!$C:$AP,COLUMN(基础表!AB$1)-2,0)</f>
        <v>3.5000000000000003E-2</v>
      </c>
      <c r="Z13" s="17">
        <f>VLOOKUP($B13,基础表!$C:$AP,COLUMN(基础表!AC$1)-2,0)</f>
        <v>7.4999999999999997E-2</v>
      </c>
      <c r="AA13" s="17">
        <f>VLOOKUP($B13,基础表!$C:$AP,COLUMN(基础表!AD$1)-2,0)</f>
        <v>0.06</v>
      </c>
      <c r="AB13" s="17">
        <f>VLOOKUP($B13,基础表!$C:$AP,COLUMN(基础表!AE$1)-2,0)</f>
        <v>6.7000000000000004E-2</v>
      </c>
      <c r="AC13" s="17">
        <f>VLOOKUP($B13,基础表!$C:$AP,COLUMN(基础表!AF$1)-2,0)</f>
        <v>3.1E-2</v>
      </c>
      <c r="AD13" s="18">
        <f>VLOOKUP($B13,基础表!$C:$AP,COLUMN(基础表!AG$1)-2,0)</f>
        <v>0</v>
      </c>
      <c r="AE13" s="16">
        <f>VLOOKUP($B13,基础表!$C:$AP,COLUMN(基础表!AH$1)-2,0)</f>
        <v>0.46800000000000003</v>
      </c>
      <c r="AF13" s="95">
        <f>VLOOKUP($B13,基础表!$C:$AP,COLUMN(基础表!AI$1)-2,0)</f>
        <v>0.41799999999999998</v>
      </c>
      <c r="AG13" s="18">
        <f>VLOOKUP($B13,基础表!$C:$AP,COLUMN(基础表!AJ$1)-2,0)</f>
        <v>-5.0000000000000044E-2</v>
      </c>
      <c r="AH13" s="22">
        <f>IF($C13="哈尔滨OT所","",VLOOKUP($B13,基础表!$C:$AZ,COLUMN(基础表!AQ$1)-2,0))</f>
        <v>0.53377265238879701</v>
      </c>
      <c r="AI13" s="20">
        <f>IF($C13="哈尔滨OT所","",VLOOKUP($B13,基础表!$C:$AZ,COLUMN(基础表!AR$1)-2,0))</f>
        <v>0.90625</v>
      </c>
      <c r="AJ13" s="21">
        <f>IF($C13="哈尔滨OT所","",VLOOKUP($B13,基础表!$C:$AZ,COLUMN(基础表!AS$1)-2,0))</f>
        <v>1</v>
      </c>
      <c r="AL13" s="8" t="b">
        <f t="shared" si="3"/>
        <v>1</v>
      </c>
      <c r="AM13" s="8" t="b">
        <f t="shared" si="2"/>
        <v>1</v>
      </c>
    </row>
    <row r="14" spans="2:39" x14ac:dyDescent="0.2">
      <c r="B14" s="14">
        <v>6</v>
      </c>
      <c r="C14" s="15" t="str">
        <f>VLOOKUP($B14,基础表!$C:$AP,COLUMN(基础表!F$1)-2,0)</f>
        <v>七台河外埠所</v>
      </c>
      <c r="D14" s="16">
        <f>VLOOKUP($B14,基础表!$C:$AP,COLUMN(基础表!G$1)-2,0)</f>
        <v>1.9</v>
      </c>
      <c r="E14" s="17">
        <f>VLOOKUP($B14,基础表!$C:$AP,COLUMN(基础表!H$1)-2,0)</f>
        <v>2.6869999999999998</v>
      </c>
      <c r="F14" s="18">
        <f>VLOOKUP($B14,基础表!$C:$AP,COLUMN(基础表!I$1)-2,0)</f>
        <v>1.742</v>
      </c>
      <c r="G14" s="19">
        <f>VLOOKUP($B14,基础表!$C:$AP,COLUMN(基础表!J$1)-2,0)</f>
        <v>-3.8947900859888862E-2</v>
      </c>
      <c r="H14" s="20">
        <f>VLOOKUP($B14,基础表!$C:$AP,COLUMN(基础表!K$1)-2,0)</f>
        <v>2.7140672782874464E-2</v>
      </c>
      <c r="I14" s="21">
        <f>VLOOKUP($B14,基础表!$C:$AP,COLUMN(基础表!L$1)-2,0)</f>
        <v>6.9364161849712058E-3</v>
      </c>
      <c r="J14" s="16">
        <f>VLOOKUP($B14,基础表!$C:$AP,COLUMN(基础表!M$1)-2,0)</f>
        <v>2.226</v>
      </c>
      <c r="K14" s="17">
        <f>VLOOKUP($B14,基础表!$C:$AP,COLUMN(基础表!N$1)-2,0)</f>
        <v>2.7389999999999999</v>
      </c>
      <c r="L14" s="20">
        <f>VLOOKUP($B14,基础表!$C:$AP,COLUMN(基础表!O$1)-2,0)</f>
        <v>-0.18729463307776562</v>
      </c>
      <c r="M14" s="17">
        <f>VLOOKUP($B14,基础表!$C:$AP,COLUMN(基础表!P$1)-2,0)</f>
        <v>2.5880000000000001</v>
      </c>
      <c r="N14" s="21">
        <f>VLOOKUP($B14,基础表!$C:$AP,COLUMN(基础表!Q$1)-2,0)</f>
        <v>0.86012364760432802</v>
      </c>
      <c r="O14" s="21">
        <f>VLOOKUP($B14,基础表!$C:$AP,COLUMN(基础表!R$1)-2,0)</f>
        <v>0.19811320754716982</v>
      </c>
      <c r="P14" s="22">
        <f>VLOOKUP($B14,基础表!$C:$AP,COLUMN(基础表!S$1)-2,0)</f>
        <v>0.14285714285714285</v>
      </c>
      <c r="Q14" s="20">
        <f>VLOOKUP($B14,基础表!$C:$AP,COLUMN(基础表!T$1)-2,0)</f>
        <v>0.1725067385444744</v>
      </c>
      <c r="R14" s="20">
        <f>VLOOKUP($B14,基础表!$C:$AP,COLUMN(基础表!U$1)-2,0)</f>
        <v>0.11904761904761905</v>
      </c>
      <c r="S14" s="20">
        <f>VLOOKUP($B14,基础表!$C:$AP,COLUMN(基础表!V$1)-2,0)</f>
        <v>0.14061096136567836</v>
      </c>
      <c r="T14" s="20">
        <f>VLOOKUP($B14,基础表!$C:$AP,COLUMN(基础表!W$1)-2,0)</f>
        <v>0.11635220125786164</v>
      </c>
      <c r="U14" s="20">
        <f>VLOOKUP($B14,基础表!$C:$AP,COLUMN(基础表!X$1)-2,0)</f>
        <v>0.11051212938005391</v>
      </c>
      <c r="V14" s="21">
        <f>VLOOKUP($B14,基础表!$C:$AP,COLUMN(基础表!Y$1)-2,0)</f>
        <v>0</v>
      </c>
      <c r="W14" s="16">
        <f>VLOOKUP($B14,基础表!$C:$AP,COLUMN(基础表!Z$1)-2,0)</f>
        <v>0.441</v>
      </c>
      <c r="X14" s="17">
        <f>VLOOKUP($B14,基础表!$C:$AP,COLUMN(基础表!AA$1)-2,0)</f>
        <v>0.318</v>
      </c>
      <c r="Y14" s="17">
        <f>VLOOKUP($B14,基础表!$C:$AP,COLUMN(基础表!AB$1)-2,0)</f>
        <v>0.38400000000000001</v>
      </c>
      <c r="Z14" s="17">
        <f>VLOOKUP($B14,基础表!$C:$AP,COLUMN(基础表!AC$1)-2,0)</f>
        <v>0.26500000000000001</v>
      </c>
      <c r="AA14" s="17">
        <f>VLOOKUP($B14,基础表!$C:$AP,COLUMN(基础表!AD$1)-2,0)</f>
        <v>0.313</v>
      </c>
      <c r="AB14" s="17">
        <f>VLOOKUP($B14,基础表!$C:$AP,COLUMN(基础表!AE$1)-2,0)</f>
        <v>0.25900000000000001</v>
      </c>
      <c r="AC14" s="17">
        <f>VLOOKUP($B14,基础表!$C:$AP,COLUMN(基础表!AF$1)-2,0)</f>
        <v>0.246</v>
      </c>
      <c r="AD14" s="18">
        <f>VLOOKUP($B14,基础表!$C:$AP,COLUMN(基础表!AG$1)-2,0)</f>
        <v>0</v>
      </c>
      <c r="AE14" s="16">
        <f>VLOOKUP($B14,基础表!$C:$AP,COLUMN(基础表!AH$1)-2,0)</f>
        <v>2.8140000000000001</v>
      </c>
      <c r="AF14" s="95">
        <f>VLOOKUP($B14,基础表!$C:$AP,COLUMN(基础表!AI$1)-2,0)</f>
        <v>2.4009999999999998</v>
      </c>
      <c r="AG14" s="18">
        <f>VLOOKUP($B14,基础表!$C:$AP,COLUMN(基础表!AJ$1)-2,0)</f>
        <v>-0.41300000000000026</v>
      </c>
      <c r="AH14" s="22">
        <f>IF($C14="哈尔滨OT所","",VLOOKUP($B14,基础表!$C:$AZ,COLUMN(基础表!AQ$1)-2,0))</f>
        <v>0.46156893819334399</v>
      </c>
      <c r="AI14" s="20">
        <f>IF($C14="哈尔滨OT所","",VLOOKUP($B14,基础表!$C:$AZ,COLUMN(基础表!AR$1)-2,0))</f>
        <v>0.71875</v>
      </c>
      <c r="AJ14" s="21">
        <f>IF($C14="哈尔滨OT所","",VLOOKUP($B14,基础表!$C:$AZ,COLUMN(基础表!AS$1)-2,0))</f>
        <v>1</v>
      </c>
      <c r="AL14" s="8" t="b">
        <f t="shared" si="3"/>
        <v>1</v>
      </c>
      <c r="AM14" s="8" t="b">
        <f t="shared" si="2"/>
        <v>1</v>
      </c>
    </row>
    <row r="15" spans="2:39" x14ac:dyDescent="0.2">
      <c r="B15" s="14">
        <v>7</v>
      </c>
      <c r="C15" s="15" t="str">
        <f>VLOOKUP($B15,基础表!$C:$AP,COLUMN(基础表!F$1)-2,0)</f>
        <v>牡丹江城区所</v>
      </c>
      <c r="D15" s="16">
        <f>VLOOKUP($B15,基础表!$C:$AP,COLUMN(基础表!G$1)-2,0)</f>
        <v>1.6</v>
      </c>
      <c r="E15" s="17">
        <f>VLOOKUP($B15,基础表!$C:$AP,COLUMN(基础表!H$1)-2,0)</f>
        <v>2.0699999999999998</v>
      </c>
      <c r="F15" s="18">
        <f>VLOOKUP($B15,基础表!$C:$AP,COLUMN(基础表!I$1)-2,0)</f>
        <v>1.736</v>
      </c>
      <c r="G15" s="19">
        <f>VLOOKUP($B15,基础表!$C:$AP,COLUMN(基础表!J$1)-2,0)</f>
        <v>-5.0445103857566731E-2</v>
      </c>
      <c r="H15" s="20">
        <f>VLOOKUP($B15,基础表!$C:$AP,COLUMN(基础表!K$1)-2,0)</f>
        <v>-1.8957345971563955E-2</v>
      </c>
      <c r="I15" s="21">
        <f>VLOOKUP($B15,基础表!$C:$AP,COLUMN(基础表!L$1)-2,0)</f>
        <v>-4.8245614035087758E-2</v>
      </c>
      <c r="J15" s="16">
        <f>VLOOKUP($B15,基础表!$C:$AP,COLUMN(基础表!M$1)-2,0)</f>
        <v>1.776</v>
      </c>
      <c r="K15" s="17">
        <f>VLOOKUP($B15,基础表!$C:$AP,COLUMN(基础表!N$1)-2,0)</f>
        <v>2.2919999999999998</v>
      </c>
      <c r="L15" s="20">
        <f>VLOOKUP($B15,基础表!$C:$AP,COLUMN(基础表!O$1)-2,0)</f>
        <v>-0.22513089005235598</v>
      </c>
      <c r="M15" s="17">
        <f>VLOOKUP($B15,基础表!$C:$AP,COLUMN(基础表!P$1)-2,0)</f>
        <v>2.0659999999999998</v>
      </c>
      <c r="N15" s="21">
        <f>VLOOKUP($B15,基础表!$C:$AP,COLUMN(基础表!Q$1)-2,0)</f>
        <v>0.85963213939980609</v>
      </c>
      <c r="O15" s="21">
        <f>VLOOKUP($B15,基础表!$C:$AP,COLUMN(基础表!R$1)-2,0)</f>
        <v>0.12105855855855856</v>
      </c>
      <c r="P15" s="22">
        <f>VLOOKUP($B15,基础表!$C:$AP,COLUMN(基础表!S$1)-2,0)</f>
        <v>0.12894144144144146</v>
      </c>
      <c r="Q15" s="20">
        <f>VLOOKUP($B15,基础表!$C:$AP,COLUMN(基础表!T$1)-2,0)</f>
        <v>0.16722972972972971</v>
      </c>
      <c r="R15" s="20">
        <f>VLOOKUP($B15,基础表!$C:$AP,COLUMN(基础表!U$1)-2,0)</f>
        <v>0.14301801801801803</v>
      </c>
      <c r="S15" s="20">
        <f>VLOOKUP($B15,基础表!$C:$AP,COLUMN(基础表!V$1)-2,0)</f>
        <v>0.13626126126126126</v>
      </c>
      <c r="T15" s="20">
        <f>VLOOKUP($B15,基础表!$C:$AP,COLUMN(基础表!W$1)-2,0)</f>
        <v>0.15371621621621623</v>
      </c>
      <c r="U15" s="20">
        <f>VLOOKUP($B15,基础表!$C:$AP,COLUMN(基础表!X$1)-2,0)</f>
        <v>0.14977477477477477</v>
      </c>
      <c r="V15" s="21">
        <f>VLOOKUP($B15,基础表!$C:$AP,COLUMN(基础表!Y$1)-2,0)</f>
        <v>0</v>
      </c>
      <c r="W15" s="16">
        <f>VLOOKUP($B15,基础表!$C:$AP,COLUMN(基础表!Z$1)-2,0)</f>
        <v>0.215</v>
      </c>
      <c r="X15" s="17">
        <f>VLOOKUP($B15,基础表!$C:$AP,COLUMN(基础表!AA$1)-2,0)</f>
        <v>0.22900000000000001</v>
      </c>
      <c r="Y15" s="17">
        <f>VLOOKUP($B15,基础表!$C:$AP,COLUMN(基础表!AB$1)-2,0)</f>
        <v>0.29699999999999999</v>
      </c>
      <c r="Z15" s="17">
        <f>VLOOKUP($B15,基础表!$C:$AP,COLUMN(基础表!AC$1)-2,0)</f>
        <v>0.254</v>
      </c>
      <c r="AA15" s="17">
        <f>VLOOKUP($B15,基础表!$C:$AP,COLUMN(基础表!AD$1)-2,0)</f>
        <v>0.24199999999999999</v>
      </c>
      <c r="AB15" s="17">
        <f>VLOOKUP($B15,基础表!$C:$AP,COLUMN(基础表!AE$1)-2,0)</f>
        <v>0.27300000000000002</v>
      </c>
      <c r="AC15" s="17">
        <f>VLOOKUP($B15,基础表!$C:$AP,COLUMN(基础表!AF$1)-2,0)</f>
        <v>0.26600000000000001</v>
      </c>
      <c r="AD15" s="18">
        <f>VLOOKUP($B15,基础表!$C:$AP,COLUMN(基础表!AG$1)-2,0)</f>
        <v>0</v>
      </c>
      <c r="AE15" s="16">
        <f>VLOOKUP($B15,基础表!$C:$AP,COLUMN(基础表!AH$1)-2,0)</f>
        <v>1.488</v>
      </c>
      <c r="AF15" s="95">
        <f>VLOOKUP($B15,基础表!$C:$AP,COLUMN(基础表!AI$1)-2,0)</f>
        <v>1.4384999999999999</v>
      </c>
      <c r="AG15" s="18">
        <f>VLOOKUP($B15,基础表!$C:$AP,COLUMN(基础表!AJ$1)-2,0)</f>
        <v>-4.9500000000000099E-2</v>
      </c>
      <c r="AH15" s="22">
        <f>IF($C15="哈尔滨OT所","",VLOOKUP($B15,基础表!$C:$AZ,COLUMN(基础表!AQ$1)-2,0))</f>
        <v>0.77192141830378502</v>
      </c>
      <c r="AI15" s="20">
        <f>IF($C15="哈尔滨OT所","",VLOOKUP($B15,基础表!$C:$AZ,COLUMN(基础表!AR$1)-2,0))</f>
        <v>0.90163934426229497</v>
      </c>
      <c r="AJ15" s="21">
        <f>IF($C15="哈尔滨OT所","",VLOOKUP($B15,基础表!$C:$AZ,COLUMN(基础表!AS$1)-2,0))</f>
        <v>1</v>
      </c>
      <c r="AL15" s="8" t="b">
        <f t="shared" si="3"/>
        <v>1</v>
      </c>
      <c r="AM15" s="8" t="b">
        <f t="shared" si="2"/>
        <v>1</v>
      </c>
    </row>
    <row r="16" spans="2:39" x14ac:dyDescent="0.2">
      <c r="B16" s="14">
        <v>8</v>
      </c>
      <c r="C16" s="15" t="str">
        <f>VLOOKUP($B16,基础表!$C:$AP,COLUMN(基础表!F$1)-2,0)</f>
        <v>哈尔滨城区北所</v>
      </c>
      <c r="D16" s="16">
        <f>VLOOKUP($B16,基础表!$C:$AP,COLUMN(基础表!G$1)-2,0)</f>
        <v>0.753</v>
      </c>
      <c r="E16" s="17">
        <f>VLOOKUP($B16,基础表!$C:$AP,COLUMN(基础表!H$1)-2,0)</f>
        <v>1.597</v>
      </c>
      <c r="F16" s="18">
        <f>VLOOKUP($B16,基础表!$C:$AP,COLUMN(基础表!I$1)-2,0)</f>
        <v>1.272</v>
      </c>
      <c r="G16" s="19">
        <f>VLOOKUP($B16,基础表!$C:$AP,COLUMN(基础表!J$1)-2,0)</f>
        <v>-0.34235807860262013</v>
      </c>
      <c r="H16" s="20">
        <f>VLOOKUP($B16,基础表!$C:$AP,COLUMN(基础表!K$1)-2,0)</f>
        <v>5.0346129641283266E-3</v>
      </c>
      <c r="I16" s="21">
        <f>VLOOKUP($B16,基础表!$C:$AP,COLUMN(基础表!L$1)-2,0)</f>
        <v>0.17019319227230922</v>
      </c>
      <c r="J16" s="16">
        <f>VLOOKUP($B16,基础表!$C:$AP,COLUMN(基础表!M$1)-2,0)</f>
        <v>1.5369999999999999</v>
      </c>
      <c r="K16" s="17">
        <f>VLOOKUP($B16,基础表!$C:$AP,COLUMN(基础表!N$1)-2,0)</f>
        <v>1.597</v>
      </c>
      <c r="L16" s="20">
        <f>VLOOKUP($B16,基础表!$C:$AP,COLUMN(基础表!O$1)-2,0)</f>
        <v>-3.7570444583594265E-2</v>
      </c>
      <c r="M16" s="17">
        <f>VLOOKUP($B16,基础表!$C:$AP,COLUMN(基础表!P$1)-2,0)</f>
        <v>1.8879999999999999</v>
      </c>
      <c r="N16" s="21">
        <f>VLOOKUP($B16,基础表!$C:$AP,COLUMN(基础表!Q$1)-2,0)</f>
        <v>0.81408898305084709</v>
      </c>
      <c r="O16" s="21">
        <f>VLOOKUP($B16,基础表!$C:$AP,COLUMN(基础表!R$1)-2,0)</f>
        <v>0.12426805465191933</v>
      </c>
      <c r="P16" s="22">
        <f>VLOOKUP($B16,基础表!$C:$AP,COLUMN(基础表!S$1)-2,0)</f>
        <v>0.10474951203643462</v>
      </c>
      <c r="Q16" s="20">
        <f>VLOOKUP($B16,基础表!$C:$AP,COLUMN(基础表!T$1)-2,0)</f>
        <v>0.15289525048796357</v>
      </c>
      <c r="R16" s="20">
        <f>VLOOKUP($B16,基础表!$C:$AP,COLUMN(基础表!U$1)-2,0)</f>
        <v>0.13728041639557581</v>
      </c>
      <c r="S16" s="20">
        <f>VLOOKUP($B16,基础表!$C:$AP,COLUMN(基础表!V$1)-2,0)</f>
        <v>0.13728041639557581</v>
      </c>
      <c r="T16" s="20">
        <f>VLOOKUP($B16,基础表!$C:$AP,COLUMN(基础表!W$1)-2,0)</f>
        <v>0.13662979830839297</v>
      </c>
      <c r="U16" s="20">
        <f>VLOOKUP($B16,基础表!$C:$AP,COLUMN(基础表!X$1)-2,0)</f>
        <v>0.20689655172413796</v>
      </c>
      <c r="V16" s="21">
        <f>VLOOKUP($B16,基础表!$C:$AP,COLUMN(基础表!Y$1)-2,0)</f>
        <v>0</v>
      </c>
      <c r="W16" s="16">
        <f>VLOOKUP($B16,基础表!$C:$AP,COLUMN(基础表!Z$1)-2,0)</f>
        <v>0.191</v>
      </c>
      <c r="X16" s="17">
        <f>VLOOKUP($B16,基础表!$C:$AP,COLUMN(基础表!AA$1)-2,0)</f>
        <v>0.161</v>
      </c>
      <c r="Y16" s="17">
        <f>VLOOKUP($B16,基础表!$C:$AP,COLUMN(基础表!AB$1)-2,0)</f>
        <v>0.23499999999999999</v>
      </c>
      <c r="Z16" s="17">
        <f>VLOOKUP($B16,基础表!$C:$AP,COLUMN(基础表!AC$1)-2,0)</f>
        <v>0.21099999999999999</v>
      </c>
      <c r="AA16" s="17">
        <f>VLOOKUP($B16,基础表!$C:$AP,COLUMN(基础表!AD$1)-2,0)</f>
        <v>0.21099999999999999</v>
      </c>
      <c r="AB16" s="17">
        <f>VLOOKUP($B16,基础表!$C:$AP,COLUMN(基础表!AE$1)-2,0)</f>
        <v>0.21</v>
      </c>
      <c r="AC16" s="17">
        <f>VLOOKUP($B16,基础表!$C:$AP,COLUMN(基础表!AF$1)-2,0)</f>
        <v>0.318</v>
      </c>
      <c r="AD16" s="18">
        <f>VLOOKUP($B16,基础表!$C:$AP,COLUMN(基础表!AG$1)-2,0)</f>
        <v>0</v>
      </c>
      <c r="AE16" s="16">
        <f>VLOOKUP($B16,基础表!$C:$AP,COLUMN(基础表!AH$1)-2,0)</f>
        <v>0.375</v>
      </c>
      <c r="AF16" s="95">
        <f>VLOOKUP($B16,基础表!$C:$AP,COLUMN(基础表!AI$1)-2,0)</f>
        <v>0.52300000000000002</v>
      </c>
      <c r="AG16" s="18">
        <f>VLOOKUP($B16,基础表!$C:$AP,COLUMN(基础表!AJ$1)-2,0)</f>
        <v>0.14800000000000002</v>
      </c>
      <c r="AH16" s="22">
        <f>IF($C16="哈尔滨OT所","",VLOOKUP($B16,基础表!$C:$AZ,COLUMN(基础表!AQ$1)-2,0))</f>
        <v>0.89433384379785597</v>
      </c>
      <c r="AI16" s="20">
        <f>IF($C16="哈尔滨OT所","",VLOOKUP($B16,基础表!$C:$AZ,COLUMN(基础表!AR$1)-2,0))</f>
        <v>0.96240601503759393</v>
      </c>
      <c r="AJ16" s="21">
        <f>IF($C16="哈尔滨OT所","",VLOOKUP($B16,基础表!$C:$AZ,COLUMN(基础表!AS$1)-2,0))</f>
        <v>0.97744360902255589</v>
      </c>
      <c r="AL16" s="8" t="b">
        <f t="shared" si="3"/>
        <v>1</v>
      </c>
      <c r="AM16" s="8" t="b">
        <f t="shared" si="2"/>
        <v>1</v>
      </c>
    </row>
    <row r="17" spans="2:39" x14ac:dyDescent="0.2">
      <c r="B17" s="14">
        <v>9</v>
      </c>
      <c r="C17" s="15" t="str">
        <f>VLOOKUP($B17,基础表!$C:$AP,COLUMN(基础表!F$1)-2,0)</f>
        <v>兴安外埠所</v>
      </c>
      <c r="D17" s="16">
        <f>VLOOKUP($B17,基础表!$C:$AP,COLUMN(基础表!G$1)-2,0)</f>
        <v>1.3540000000000001</v>
      </c>
      <c r="E17" s="17">
        <f>VLOOKUP($B17,基础表!$C:$AP,COLUMN(基础表!H$1)-2,0)</f>
        <v>2.59</v>
      </c>
      <c r="F17" s="18">
        <f>VLOOKUP($B17,基础表!$C:$AP,COLUMN(基础表!I$1)-2,0)</f>
        <v>1.895</v>
      </c>
      <c r="G17" s="19">
        <f>VLOOKUP($B17,基础表!$C:$AP,COLUMN(基础表!J$1)-2,0)</f>
        <v>-0.11154855643044614</v>
      </c>
      <c r="H17" s="20">
        <f>VLOOKUP($B17,基础表!$C:$AP,COLUMN(基础表!K$1)-2,0)</f>
        <v>1.1596443757246888E-3</v>
      </c>
      <c r="I17" s="21">
        <f>VLOOKUP($B17,基础表!$C:$AP,COLUMN(基础表!L$1)-2,0)</f>
        <v>-0.17608695652173911</v>
      </c>
      <c r="J17" s="16">
        <f>VLOOKUP($B17,基础表!$C:$AP,COLUMN(基础表!M$1)-2,0)</f>
        <v>2.5390000000000001</v>
      </c>
      <c r="K17" s="17">
        <f>VLOOKUP($B17,基础表!$C:$AP,COLUMN(基础表!N$1)-2,0)</f>
        <v>3.12</v>
      </c>
      <c r="L17" s="20">
        <f>VLOOKUP($B17,基础表!$C:$AP,COLUMN(基础表!O$1)-2,0)</f>
        <v>-0.18621794871794872</v>
      </c>
      <c r="M17" s="17">
        <f>VLOOKUP($B17,基础表!$C:$AP,COLUMN(基础表!P$1)-2,0)</f>
        <v>3.1509999999999998</v>
      </c>
      <c r="N17" s="21">
        <f>VLOOKUP($B17,基础表!$C:$AP,COLUMN(基础表!Q$1)-2,0)</f>
        <v>0.80577594414471609</v>
      </c>
      <c r="O17" s="21">
        <f>VLOOKUP($B17,基础表!$C:$AP,COLUMN(基础表!R$1)-2,0)</f>
        <v>0.17920441118550609</v>
      </c>
      <c r="P17" s="22">
        <f>VLOOKUP($B17,基础表!$C:$AP,COLUMN(基础表!S$1)-2,0)</f>
        <v>0.13981882630957068</v>
      </c>
      <c r="Q17" s="20">
        <f>VLOOKUP($B17,基础表!$C:$AP,COLUMN(基础表!T$1)-2,0)</f>
        <v>0.1851122489168964</v>
      </c>
      <c r="R17" s="20">
        <f>VLOOKUP($B17,基础表!$C:$AP,COLUMN(基础表!U$1)-2,0)</f>
        <v>0.1378495470657739</v>
      </c>
      <c r="S17" s="20">
        <f>VLOOKUP($B17,基础表!$C:$AP,COLUMN(基础表!V$1)-2,0)</f>
        <v>0.16266246553761321</v>
      </c>
      <c r="T17" s="20">
        <f>VLOOKUP($B17,基础表!$C:$AP,COLUMN(基础表!W$1)-2,0)</f>
        <v>0.14572666404096099</v>
      </c>
      <c r="U17" s="20">
        <f>VLOOKUP($B17,基础表!$C:$AP,COLUMN(基础表!X$1)-2,0)</f>
        <v>4.9625836943678614E-2</v>
      </c>
      <c r="V17" s="21">
        <f>VLOOKUP($B17,基础表!$C:$AP,COLUMN(基础表!Y$1)-2,0)</f>
        <v>0</v>
      </c>
      <c r="W17" s="16">
        <f>VLOOKUP($B17,基础表!$C:$AP,COLUMN(基础表!Z$1)-2,0)</f>
        <v>0.45500000000000002</v>
      </c>
      <c r="X17" s="17">
        <f>VLOOKUP($B17,基础表!$C:$AP,COLUMN(基础表!AA$1)-2,0)</f>
        <v>0.35499999999999998</v>
      </c>
      <c r="Y17" s="17">
        <f>VLOOKUP($B17,基础表!$C:$AP,COLUMN(基础表!AB$1)-2,0)</f>
        <v>0.47</v>
      </c>
      <c r="Z17" s="17">
        <f>VLOOKUP($B17,基础表!$C:$AP,COLUMN(基础表!AC$1)-2,0)</f>
        <v>0.35</v>
      </c>
      <c r="AA17" s="17">
        <f>VLOOKUP($B17,基础表!$C:$AP,COLUMN(基础表!AD$1)-2,0)</f>
        <v>0.41299999999999998</v>
      </c>
      <c r="AB17" s="17">
        <f>VLOOKUP($B17,基础表!$C:$AP,COLUMN(基础表!AE$1)-2,0)</f>
        <v>0.37</v>
      </c>
      <c r="AC17" s="17">
        <f>VLOOKUP($B17,基础表!$C:$AP,COLUMN(基础表!AF$1)-2,0)</f>
        <v>0.126</v>
      </c>
      <c r="AD17" s="18">
        <f>VLOOKUP($B17,基础表!$C:$AP,COLUMN(基础表!AG$1)-2,0)</f>
        <v>0</v>
      </c>
      <c r="AE17" s="16">
        <f>VLOOKUP($B17,基础表!$C:$AP,COLUMN(基础表!AH$1)-2,0)</f>
        <v>3.6070000000000002</v>
      </c>
      <c r="AF17" s="95">
        <f>VLOOKUP($B17,基础表!$C:$AP,COLUMN(基础表!AI$1)-2,0)</f>
        <v>3.4049999999999998</v>
      </c>
      <c r="AG17" s="18">
        <f>VLOOKUP($B17,基础表!$C:$AP,COLUMN(基础表!AJ$1)-2,0)</f>
        <v>-0.2020000000000004</v>
      </c>
      <c r="AH17" s="22">
        <f>IF($C17="哈尔滨OT所","",VLOOKUP($B17,基础表!$C:$AZ,COLUMN(基础表!AQ$1)-2,0))</f>
        <v>0.67928286852589592</v>
      </c>
      <c r="AI17" s="20">
        <f>IF($C17="哈尔滨OT所","",VLOOKUP($B17,基础表!$C:$AZ,COLUMN(基础表!AR$1)-2,0))</f>
        <v>1</v>
      </c>
      <c r="AJ17" s="21">
        <f>IF($C17="哈尔滨OT所","",VLOOKUP($B17,基础表!$C:$AZ,COLUMN(基础表!AS$1)-2,0))</f>
        <v>1</v>
      </c>
      <c r="AL17" s="8" t="b">
        <f t="shared" si="3"/>
        <v>1</v>
      </c>
      <c r="AM17" s="8" t="b">
        <f t="shared" si="2"/>
        <v>1</v>
      </c>
    </row>
    <row r="18" spans="2:39" x14ac:dyDescent="0.2">
      <c r="B18" s="14">
        <v>10</v>
      </c>
      <c r="C18" s="15" t="str">
        <f>VLOOKUP($B18,基础表!$C:$AP,COLUMN(基础表!F$1)-2,0)</f>
        <v>齐齐哈尔城区所</v>
      </c>
      <c r="D18" s="16">
        <f>VLOOKUP($B18,基础表!$C:$AP,COLUMN(基础表!G$1)-2,0)</f>
        <v>0.51200000000000001</v>
      </c>
      <c r="E18" s="17">
        <f>VLOOKUP($B18,基础表!$C:$AP,COLUMN(基础表!H$1)-2,0)</f>
        <v>1.0089999999999999</v>
      </c>
      <c r="F18" s="18">
        <f>VLOOKUP($B18,基础表!$C:$AP,COLUMN(基础表!I$1)-2,0)</f>
        <v>0.70599999999999996</v>
      </c>
      <c r="G18" s="19">
        <f>VLOOKUP($B18,基础表!$C:$AP,COLUMN(基础表!J$1)-2,0)</f>
        <v>-0.11111111111111105</v>
      </c>
      <c r="H18" s="20">
        <f>VLOOKUP($B18,基础表!$C:$AP,COLUMN(基础表!K$1)-2,0)</f>
        <v>2.9591836734693899E-2</v>
      </c>
      <c r="I18" s="21">
        <f>VLOOKUP($B18,基础表!$C:$AP,COLUMN(基础表!L$1)-2,0)</f>
        <v>0.88770053475935828</v>
      </c>
      <c r="J18" s="16">
        <f>VLOOKUP($B18,基础表!$C:$AP,COLUMN(基础表!M$1)-2,0)</f>
        <v>0.89400000000000002</v>
      </c>
      <c r="K18" s="17">
        <f>VLOOKUP($B18,基础表!$C:$AP,COLUMN(基础表!N$1)-2,0)</f>
        <v>1.391</v>
      </c>
      <c r="L18" s="20">
        <f>VLOOKUP($B18,基础表!$C:$AP,COLUMN(基础表!O$1)-2,0)</f>
        <v>-0.35729690869877784</v>
      </c>
      <c r="M18" s="17">
        <f>VLOOKUP($B18,基础表!$C:$AP,COLUMN(基础表!P$1)-2,0)</f>
        <v>1.161</v>
      </c>
      <c r="N18" s="21">
        <f>VLOOKUP($B18,基础表!$C:$AP,COLUMN(基础表!Q$1)-2,0)</f>
        <v>0.77002583979328199</v>
      </c>
      <c r="O18" s="21">
        <f>VLOOKUP($B18,基础表!$C:$AP,COLUMN(基础表!R$1)-2,0)</f>
        <v>0.17897091722595079</v>
      </c>
      <c r="P18" s="22">
        <f>VLOOKUP($B18,基础表!$C:$AP,COLUMN(基础表!S$1)-2,0)</f>
        <v>0.1017897091722595</v>
      </c>
      <c r="Q18" s="20">
        <f>VLOOKUP($B18,基础表!$C:$AP,COLUMN(基础表!T$1)-2,0)</f>
        <v>0.18232662192393737</v>
      </c>
      <c r="R18" s="20">
        <f>VLOOKUP($B18,基础表!$C:$AP,COLUMN(基础表!U$1)-2,0)</f>
        <v>0.1476510067114094</v>
      </c>
      <c r="S18" s="20">
        <f>VLOOKUP($B18,基础表!$C:$AP,COLUMN(基础表!V$1)-2,0)</f>
        <v>0.13422818791946309</v>
      </c>
      <c r="T18" s="20">
        <f>VLOOKUP($B18,基础表!$C:$AP,COLUMN(基础表!W$1)-2,0)</f>
        <v>0.16554809843400448</v>
      </c>
      <c r="U18" s="20">
        <f>VLOOKUP($B18,基础表!$C:$AP,COLUMN(基础表!X$1)-2,0)</f>
        <v>8.9485458612975396E-2</v>
      </c>
      <c r="V18" s="21">
        <f>VLOOKUP($B18,基础表!$C:$AP,COLUMN(基础表!Y$1)-2,0)</f>
        <v>0</v>
      </c>
      <c r="W18" s="16">
        <f>VLOOKUP($B18,基础表!$C:$AP,COLUMN(基础表!Z$1)-2,0)</f>
        <v>0.16</v>
      </c>
      <c r="X18" s="17">
        <f>VLOOKUP($B18,基础表!$C:$AP,COLUMN(基础表!AA$1)-2,0)</f>
        <v>9.0999999999999998E-2</v>
      </c>
      <c r="Y18" s="17">
        <f>VLOOKUP($B18,基础表!$C:$AP,COLUMN(基础表!AB$1)-2,0)</f>
        <v>0.16300000000000001</v>
      </c>
      <c r="Z18" s="17">
        <f>VLOOKUP($B18,基础表!$C:$AP,COLUMN(基础表!AC$1)-2,0)</f>
        <v>0.13200000000000001</v>
      </c>
      <c r="AA18" s="17">
        <f>VLOOKUP($B18,基础表!$C:$AP,COLUMN(基础表!AD$1)-2,0)</f>
        <v>0.12</v>
      </c>
      <c r="AB18" s="17">
        <f>VLOOKUP($B18,基础表!$C:$AP,COLUMN(基础表!AE$1)-2,0)</f>
        <v>0.14799999999999999</v>
      </c>
      <c r="AC18" s="17">
        <f>VLOOKUP($B18,基础表!$C:$AP,COLUMN(基础表!AF$1)-2,0)</f>
        <v>0.08</v>
      </c>
      <c r="AD18" s="18">
        <f>VLOOKUP($B18,基础表!$C:$AP,COLUMN(基础表!AG$1)-2,0)</f>
        <v>0</v>
      </c>
      <c r="AE18" s="16">
        <f>VLOOKUP($B18,基础表!$C:$AP,COLUMN(基础表!AH$1)-2,0)</f>
        <v>0.63200000000000001</v>
      </c>
      <c r="AF18" s="95">
        <f>VLOOKUP($B18,基础表!$C:$AP,COLUMN(基础表!AI$1)-2,0)</f>
        <v>0.91</v>
      </c>
      <c r="AG18" s="18">
        <f>VLOOKUP($B18,基础表!$C:$AP,COLUMN(基础表!AJ$1)-2,0)</f>
        <v>0.27800000000000002</v>
      </c>
      <c r="AH18" s="22">
        <f>IF($C18="哈尔滨OT所","",VLOOKUP($B18,基础表!$C:$AZ,COLUMN(基础表!AQ$1)-2,0))</f>
        <v>0.59488692232055096</v>
      </c>
      <c r="AI18" s="20">
        <f>IF($C18="哈尔滨OT所","",VLOOKUP($B18,基础表!$C:$AZ,COLUMN(基础表!AR$1)-2,0))</f>
        <v>0.93421052631578905</v>
      </c>
      <c r="AJ18" s="21">
        <f>IF($C18="哈尔滨OT所","",VLOOKUP($B18,基础表!$C:$AZ,COLUMN(基础表!AS$1)-2,0))</f>
        <v>1</v>
      </c>
      <c r="AL18" s="8" t="b">
        <f t="shared" si="3"/>
        <v>1</v>
      </c>
      <c r="AM18" s="8" t="b">
        <f t="shared" si="2"/>
        <v>1</v>
      </c>
    </row>
    <row r="19" spans="2:39" x14ac:dyDescent="0.2">
      <c r="B19" s="14">
        <v>11</v>
      </c>
      <c r="C19" s="15" t="str">
        <f>VLOOKUP($B19,基础表!$C:$AP,COLUMN(基础表!F$1)-2,0)</f>
        <v>呼盟外埠所</v>
      </c>
      <c r="D19" s="16">
        <f>VLOOKUP($B19,基础表!$C:$AP,COLUMN(基础表!G$1)-2,0)</f>
        <v>1.29</v>
      </c>
      <c r="E19" s="17">
        <f>VLOOKUP($B19,基础表!$C:$AP,COLUMN(基础表!H$1)-2,0)</f>
        <v>2.2709999999999999</v>
      </c>
      <c r="F19" s="18">
        <f>VLOOKUP($B19,基础表!$C:$AP,COLUMN(基础表!I$1)-2,0)</f>
        <v>1.77</v>
      </c>
      <c r="G19" s="19">
        <f>VLOOKUP($B19,基础表!$C:$AP,COLUMN(基础表!J$1)-2,0)</f>
        <v>-5.563689604685218E-2</v>
      </c>
      <c r="H19" s="20">
        <f>VLOOKUP($B19,基础表!$C:$AP,COLUMN(基础表!K$1)-2,0)</f>
        <v>5.6770590972545332E-2</v>
      </c>
      <c r="I19" s="21">
        <f>VLOOKUP($B19,基础表!$C:$AP,COLUMN(基础表!L$1)-2,0)</f>
        <v>-0.14285714285714279</v>
      </c>
      <c r="J19" s="16">
        <f>VLOOKUP($B19,基础表!$C:$AP,COLUMN(基础表!M$1)-2,0)</f>
        <v>2.2250000000000001</v>
      </c>
      <c r="K19" s="17">
        <f>VLOOKUP($B19,基础表!$C:$AP,COLUMN(基础表!N$1)-2,0)</f>
        <v>2.9020000000000001</v>
      </c>
      <c r="L19" s="20">
        <f>VLOOKUP($B19,基础表!$C:$AP,COLUMN(基础表!O$1)-2,0)</f>
        <v>-0.2332873880082702</v>
      </c>
      <c r="M19" s="17">
        <f>VLOOKUP($B19,基础表!$C:$AP,COLUMN(基础表!P$1)-2,0)</f>
        <v>2.9239999999999999</v>
      </c>
      <c r="N19" s="21">
        <f>VLOOKUP($B19,基础表!$C:$AP,COLUMN(基础表!Q$1)-2,0)</f>
        <v>0.76094391244869997</v>
      </c>
      <c r="O19" s="21">
        <f>VLOOKUP($B19,基础表!$C:$AP,COLUMN(基础表!R$1)-2,0)</f>
        <v>0.16449438202247191</v>
      </c>
      <c r="P19" s="22">
        <f>VLOOKUP($B19,基础表!$C:$AP,COLUMN(基础表!S$1)-2,0)</f>
        <v>0.13887640449438202</v>
      </c>
      <c r="Q19" s="20">
        <f>VLOOKUP($B19,基础表!$C:$AP,COLUMN(基础表!T$1)-2,0)</f>
        <v>0.17168539325842697</v>
      </c>
      <c r="R19" s="20">
        <f>VLOOKUP($B19,基础表!$C:$AP,COLUMN(基础表!U$1)-2,0)</f>
        <v>0.11146067415730336</v>
      </c>
      <c r="S19" s="20">
        <f>VLOOKUP($B19,基础表!$C:$AP,COLUMN(基础表!V$1)-2,0)</f>
        <v>0.14382022471910111</v>
      </c>
      <c r="T19" s="20">
        <f>VLOOKUP($B19,基础表!$C:$AP,COLUMN(基础表!W$1)-2,0)</f>
        <v>0.14831460674157304</v>
      </c>
      <c r="U19" s="20">
        <f>VLOOKUP($B19,基础表!$C:$AP,COLUMN(基础表!X$1)-2,0)</f>
        <v>0.12134831460674157</v>
      </c>
      <c r="V19" s="21">
        <f>VLOOKUP($B19,基础表!$C:$AP,COLUMN(基础表!Y$1)-2,0)</f>
        <v>0</v>
      </c>
      <c r="W19" s="16">
        <f>VLOOKUP($B19,基础表!$C:$AP,COLUMN(基础表!Z$1)-2,0)</f>
        <v>0.36599999999999999</v>
      </c>
      <c r="X19" s="17">
        <f>VLOOKUP($B19,基础表!$C:$AP,COLUMN(基础表!AA$1)-2,0)</f>
        <v>0.309</v>
      </c>
      <c r="Y19" s="17">
        <f>VLOOKUP($B19,基础表!$C:$AP,COLUMN(基础表!AB$1)-2,0)</f>
        <v>0.38200000000000001</v>
      </c>
      <c r="Z19" s="17">
        <f>VLOOKUP($B19,基础表!$C:$AP,COLUMN(基础表!AC$1)-2,0)</f>
        <v>0.248</v>
      </c>
      <c r="AA19" s="17">
        <f>VLOOKUP($B19,基础表!$C:$AP,COLUMN(基础表!AD$1)-2,0)</f>
        <v>0.32</v>
      </c>
      <c r="AB19" s="17">
        <f>VLOOKUP($B19,基础表!$C:$AP,COLUMN(基础表!AE$1)-2,0)</f>
        <v>0.33</v>
      </c>
      <c r="AC19" s="17">
        <f>VLOOKUP($B19,基础表!$C:$AP,COLUMN(基础表!AF$1)-2,0)</f>
        <v>0.27</v>
      </c>
      <c r="AD19" s="18">
        <f>VLOOKUP($B19,基础表!$C:$AP,COLUMN(基础表!AG$1)-2,0)</f>
        <v>0</v>
      </c>
      <c r="AE19" s="16">
        <f>VLOOKUP($B19,基础表!$C:$AP,COLUMN(基础表!AH$1)-2,0)</f>
        <v>2.3290000000000002</v>
      </c>
      <c r="AF19" s="95">
        <f>VLOOKUP($B19,基础表!$C:$AP,COLUMN(基础表!AI$1)-2,0)</f>
        <v>2.819</v>
      </c>
      <c r="AG19" s="18">
        <f>VLOOKUP($B19,基础表!$C:$AP,COLUMN(基础表!AJ$1)-2,0)</f>
        <v>0.48999999999999977</v>
      </c>
      <c r="AH19" s="22">
        <f>IF($C19="哈尔滨OT所","",VLOOKUP($B19,基础表!$C:$AZ,COLUMN(基础表!AQ$1)-2,0))</f>
        <v>0.58434690639873099</v>
      </c>
      <c r="AI19" s="20">
        <f>IF($C19="哈尔滨OT所","",VLOOKUP($B19,基础表!$C:$AZ,COLUMN(基础表!AR$1)-2,0))</f>
        <v>0.68421052631578905</v>
      </c>
      <c r="AJ19" s="21">
        <f>IF($C19="哈尔滨OT所","",VLOOKUP($B19,基础表!$C:$AZ,COLUMN(基础表!AS$1)-2,0))</f>
        <v>1</v>
      </c>
      <c r="AL19" s="8" t="b">
        <f t="shared" si="3"/>
        <v>1</v>
      </c>
      <c r="AM19" s="8" t="b">
        <f t="shared" si="2"/>
        <v>1</v>
      </c>
    </row>
    <row r="20" spans="2:39" x14ac:dyDescent="0.2">
      <c r="B20" s="14">
        <v>12</v>
      </c>
      <c r="C20" s="15" t="str">
        <f>VLOOKUP($B20,基础表!$C:$AP,COLUMN(基础表!F$1)-2,0)</f>
        <v>哈尔滨综合中所</v>
      </c>
      <c r="D20" s="16">
        <f>VLOOKUP($B20,基础表!$C:$AP,COLUMN(基础表!G$1)-2,0)</f>
        <v>1.4770000000000001</v>
      </c>
      <c r="E20" s="17">
        <f>VLOOKUP($B20,基础表!$C:$AP,COLUMN(基础表!H$1)-2,0)</f>
        <v>2.0059999999999998</v>
      </c>
      <c r="F20" s="18">
        <f>VLOOKUP($B20,基础表!$C:$AP,COLUMN(基础表!I$1)-2,0)</f>
        <v>2.35</v>
      </c>
      <c r="G20" s="19">
        <f>VLOOKUP($B20,基础表!$C:$AP,COLUMN(基础表!J$1)-2,0)</f>
        <v>0.34272727272727277</v>
      </c>
      <c r="H20" s="20">
        <f>VLOOKUP($B20,基础表!$C:$AP,COLUMN(基础表!K$1)-2,0)</f>
        <v>0.21575757575757559</v>
      </c>
      <c r="I20" s="21">
        <f>VLOOKUP($B20,基础表!$C:$AP,COLUMN(基础表!L$1)-2,0)</f>
        <v>0.45420792079207928</v>
      </c>
      <c r="J20" s="16">
        <f>VLOOKUP($B20,基础表!$C:$AP,COLUMN(基础表!M$1)-2,0)</f>
        <v>1.7210000000000001</v>
      </c>
      <c r="K20" s="17">
        <f>VLOOKUP($B20,基础表!$C:$AP,COLUMN(基础表!N$1)-2,0)</f>
        <v>1.5640000000000001</v>
      </c>
      <c r="L20" s="20">
        <f>VLOOKUP($B20,基础表!$C:$AP,COLUMN(基础表!O$1)-2,0)</f>
        <v>0.10038363171355491</v>
      </c>
      <c r="M20" s="17">
        <f>VLOOKUP($B20,基础表!$C:$AP,COLUMN(基础表!P$1)-2,0)</f>
        <v>2.2919999999999998</v>
      </c>
      <c r="N20" s="21">
        <f>VLOOKUP($B20,基础表!$C:$AP,COLUMN(基础表!Q$1)-2,0)</f>
        <v>0.75087260034904002</v>
      </c>
      <c r="O20" s="21">
        <f>VLOOKUP($B20,基础表!$C:$AP,COLUMN(基础表!R$1)-2,0)</f>
        <v>0.15165601394538059</v>
      </c>
      <c r="P20" s="22">
        <f>VLOOKUP($B20,基础表!$C:$AP,COLUMN(基础表!S$1)-2,0)</f>
        <v>0.10749564206856478</v>
      </c>
      <c r="Q20" s="20">
        <f>VLOOKUP($B20,基础表!$C:$AP,COLUMN(基础表!T$1)-2,0)</f>
        <v>0.14875072632190586</v>
      </c>
      <c r="R20" s="20">
        <f>VLOOKUP($B20,基础表!$C:$AP,COLUMN(基础表!U$1)-2,0)</f>
        <v>0.13422428820453225</v>
      </c>
      <c r="S20" s="20">
        <f>VLOOKUP($B20,基础表!$C:$AP,COLUMN(基础表!V$1)-2,0)</f>
        <v>0.14235909355026147</v>
      </c>
      <c r="T20" s="20">
        <f>VLOOKUP($B20,基础表!$C:$AP,COLUMN(基础表!W$1)-2,0)</f>
        <v>0.15514235909355026</v>
      </c>
      <c r="U20" s="20">
        <f>VLOOKUP($B20,基础表!$C:$AP,COLUMN(基础表!X$1)-2,0)</f>
        <v>0.16037187681580478</v>
      </c>
      <c r="V20" s="21">
        <f>VLOOKUP($B20,基础表!$C:$AP,COLUMN(基础表!Y$1)-2,0)</f>
        <v>0</v>
      </c>
      <c r="W20" s="16">
        <f>VLOOKUP($B20,基础表!$C:$AP,COLUMN(基础表!Z$1)-2,0)</f>
        <v>0.26100000000000001</v>
      </c>
      <c r="X20" s="17">
        <f>VLOOKUP($B20,基础表!$C:$AP,COLUMN(基础表!AA$1)-2,0)</f>
        <v>0.185</v>
      </c>
      <c r="Y20" s="17">
        <f>VLOOKUP($B20,基础表!$C:$AP,COLUMN(基础表!AB$1)-2,0)</f>
        <v>0.25600000000000001</v>
      </c>
      <c r="Z20" s="17">
        <f>VLOOKUP($B20,基础表!$C:$AP,COLUMN(基础表!AC$1)-2,0)</f>
        <v>0.23100000000000001</v>
      </c>
      <c r="AA20" s="17">
        <f>VLOOKUP($B20,基础表!$C:$AP,COLUMN(基础表!AD$1)-2,0)</f>
        <v>0.245</v>
      </c>
      <c r="AB20" s="17">
        <f>VLOOKUP($B20,基础表!$C:$AP,COLUMN(基础表!AE$1)-2,0)</f>
        <v>0.26700000000000002</v>
      </c>
      <c r="AC20" s="17">
        <f>VLOOKUP($B20,基础表!$C:$AP,COLUMN(基础表!AF$1)-2,0)</f>
        <v>0.27600000000000002</v>
      </c>
      <c r="AD20" s="18">
        <f>VLOOKUP($B20,基础表!$C:$AP,COLUMN(基础表!AG$1)-2,0)</f>
        <v>0</v>
      </c>
      <c r="AE20" s="16">
        <f>VLOOKUP($B20,基础表!$C:$AP,COLUMN(基础表!AH$1)-2,0)</f>
        <v>4.0000000000000001E-3</v>
      </c>
      <c r="AF20" s="95">
        <f>VLOOKUP($B20,基础表!$C:$AP,COLUMN(基础表!AI$1)-2,0)</f>
        <v>0.27200000000000002</v>
      </c>
      <c r="AG20" s="18">
        <f>VLOOKUP($B20,基础表!$C:$AP,COLUMN(基础表!AJ$1)-2,0)</f>
        <v>0.26800000000000002</v>
      </c>
      <c r="AH20" s="22">
        <f>IF($C20="哈尔滨OT所","",VLOOKUP($B20,基础表!$C:$AZ,COLUMN(基础表!AQ$1)-2,0))</f>
        <v>0.96111111111111103</v>
      </c>
      <c r="AI20" s="20">
        <f>IF($C20="哈尔滨OT所","",VLOOKUP($B20,基础表!$C:$AZ,COLUMN(基础表!AR$1)-2,0))</f>
        <v>1</v>
      </c>
      <c r="AJ20" s="21">
        <f>IF($C20="哈尔滨OT所","",VLOOKUP($B20,基础表!$C:$AZ,COLUMN(基础表!AS$1)-2,0))</f>
        <v>1</v>
      </c>
      <c r="AL20" s="8" t="b">
        <f t="shared" si="3"/>
        <v>1</v>
      </c>
      <c r="AM20" s="8" t="b">
        <f t="shared" si="2"/>
        <v>1</v>
      </c>
    </row>
    <row r="21" spans="2:39" x14ac:dyDescent="0.2">
      <c r="B21" s="14">
        <v>13</v>
      </c>
      <c r="C21" s="15" t="str">
        <f>VLOOKUP($B21,基础表!$C:$AP,COLUMN(基础表!F$1)-2,0)</f>
        <v>海拉尔城区所</v>
      </c>
      <c r="D21" s="16">
        <f>VLOOKUP($B21,基础表!$C:$AP,COLUMN(基础表!G$1)-2,0)</f>
        <v>0.317</v>
      </c>
      <c r="E21" s="17">
        <f>VLOOKUP($B21,基础表!$C:$AP,COLUMN(基础表!H$1)-2,0)</f>
        <v>0.57499999999999996</v>
      </c>
      <c r="F21" s="18">
        <f>VLOOKUP($B21,基础表!$C:$AP,COLUMN(基础表!I$1)-2,0)</f>
        <v>0.41299999999999998</v>
      </c>
      <c r="G21" s="19">
        <f>VLOOKUP($B21,基础表!$C:$AP,COLUMN(基础表!J$1)-2,0)</f>
        <v>-0.17447916666666663</v>
      </c>
      <c r="H21" s="20">
        <f>VLOOKUP($B21,基础表!$C:$AP,COLUMN(基础表!K$1)-2,0)</f>
        <v>1.7421602787457413E-3</v>
      </c>
      <c r="I21" s="21">
        <f>VLOOKUP($B21,基础表!$C:$AP,COLUMN(基础表!L$1)-2,0)</f>
        <v>1.1288659793814433</v>
      </c>
      <c r="J21" s="16">
        <f>VLOOKUP($B21,基础表!$C:$AP,COLUMN(基础表!M$1)-2,0)</f>
        <v>0.51800000000000002</v>
      </c>
      <c r="K21" s="17">
        <f>VLOOKUP($B21,基础表!$C:$AP,COLUMN(基础表!N$1)-2,0)</f>
        <v>0.89900000000000002</v>
      </c>
      <c r="L21" s="20">
        <f>VLOOKUP($B21,基础表!$C:$AP,COLUMN(基础表!O$1)-2,0)</f>
        <v>-0.42380422691879871</v>
      </c>
      <c r="M21" s="17">
        <f>VLOOKUP($B21,基础表!$C:$AP,COLUMN(基础表!P$1)-2,0)</f>
        <v>0.69</v>
      </c>
      <c r="N21" s="21">
        <f>VLOOKUP($B21,基础表!$C:$AP,COLUMN(基础表!Q$1)-2,0)</f>
        <v>0.75072463768115894</v>
      </c>
      <c r="O21" s="21">
        <f>VLOOKUP($B21,基础表!$C:$AP,COLUMN(基础表!R$1)-2,0)</f>
        <v>0.22393822393822393</v>
      </c>
      <c r="P21" s="22">
        <f>VLOOKUP($B21,基础表!$C:$AP,COLUMN(基础表!S$1)-2,0)</f>
        <v>0.11776061776061776</v>
      </c>
      <c r="Q21" s="20">
        <f>VLOOKUP($B21,基础表!$C:$AP,COLUMN(基础表!T$1)-2,0)</f>
        <v>0.18725868725868725</v>
      </c>
      <c r="R21" s="20">
        <f>VLOOKUP($B21,基础表!$C:$AP,COLUMN(基础表!U$1)-2,0)</f>
        <v>0.12548262548262548</v>
      </c>
      <c r="S21" s="20">
        <f>VLOOKUP($B21,基础表!$C:$AP,COLUMN(基础表!V$1)-2,0)</f>
        <v>0.15250965250965251</v>
      </c>
      <c r="T21" s="20">
        <f>VLOOKUP($B21,基础表!$C:$AP,COLUMN(基础表!W$1)-2,0)</f>
        <v>0.13513513513513514</v>
      </c>
      <c r="U21" s="20">
        <f>VLOOKUP($B21,基础表!$C:$AP,COLUMN(基础表!X$1)-2,0)</f>
        <v>5.791505791505791E-2</v>
      </c>
      <c r="V21" s="21">
        <f>VLOOKUP($B21,基础表!$C:$AP,COLUMN(基础表!Y$1)-2,0)</f>
        <v>0</v>
      </c>
      <c r="W21" s="16">
        <f>VLOOKUP($B21,基础表!$C:$AP,COLUMN(基础表!Z$1)-2,0)</f>
        <v>0.11600000000000001</v>
      </c>
      <c r="X21" s="17">
        <f>VLOOKUP($B21,基础表!$C:$AP,COLUMN(基础表!AA$1)-2,0)</f>
        <v>6.0999999999999999E-2</v>
      </c>
      <c r="Y21" s="17">
        <f>VLOOKUP($B21,基础表!$C:$AP,COLUMN(基础表!AB$1)-2,0)</f>
        <v>9.7000000000000003E-2</v>
      </c>
      <c r="Z21" s="17">
        <f>VLOOKUP($B21,基础表!$C:$AP,COLUMN(基础表!AC$1)-2,0)</f>
        <v>6.5000000000000002E-2</v>
      </c>
      <c r="AA21" s="17">
        <f>VLOOKUP($B21,基础表!$C:$AP,COLUMN(基础表!AD$1)-2,0)</f>
        <v>7.9000000000000001E-2</v>
      </c>
      <c r="AB21" s="17">
        <f>VLOOKUP($B21,基础表!$C:$AP,COLUMN(基础表!AE$1)-2,0)</f>
        <v>7.0000000000000007E-2</v>
      </c>
      <c r="AC21" s="17">
        <f>VLOOKUP($B21,基础表!$C:$AP,COLUMN(基础表!AF$1)-2,0)</f>
        <v>0.03</v>
      </c>
      <c r="AD21" s="18">
        <f>VLOOKUP($B21,基础表!$C:$AP,COLUMN(基础表!AG$1)-2,0)</f>
        <v>0</v>
      </c>
      <c r="AE21" s="16">
        <f>VLOOKUP($B21,基础表!$C:$AP,COLUMN(基础表!AH$1)-2,0)</f>
        <v>0.78600000000000003</v>
      </c>
      <c r="AF21" s="95">
        <f>VLOOKUP($B21,基础表!$C:$AP,COLUMN(基础表!AI$1)-2,0)</f>
        <v>0.56999999999999995</v>
      </c>
      <c r="AG21" s="18">
        <f>VLOOKUP($B21,基础表!$C:$AP,COLUMN(基础表!AJ$1)-2,0)</f>
        <v>-0.21600000000000008</v>
      </c>
      <c r="AH21" s="22">
        <f>IF($C21="哈尔滨OT所","",VLOOKUP($B21,基础表!$C:$AZ,COLUMN(基础表!AQ$1)-2,0))</f>
        <v>0.51753325272067696</v>
      </c>
      <c r="AI21" s="20">
        <f>IF($C21="哈尔滨OT所","",VLOOKUP($B21,基础表!$C:$AZ,COLUMN(基础表!AR$1)-2,0))</f>
        <v>1</v>
      </c>
      <c r="AJ21" s="21">
        <f>IF($C21="哈尔滨OT所","",VLOOKUP($B21,基础表!$C:$AZ,COLUMN(基础表!AS$1)-2,0))</f>
        <v>1</v>
      </c>
      <c r="AL21" s="8" t="b">
        <f t="shared" si="3"/>
        <v>1</v>
      </c>
      <c r="AM21" s="8" t="b">
        <f t="shared" si="2"/>
        <v>1</v>
      </c>
    </row>
    <row r="22" spans="2:39" x14ac:dyDescent="0.2">
      <c r="B22" s="14">
        <v>14</v>
      </c>
      <c r="C22" s="15" t="str">
        <f>VLOOKUP($B22,基础表!$C:$AP,COLUMN(基础表!F$1)-2,0)</f>
        <v>双鸭山外埠所</v>
      </c>
      <c r="D22" s="16">
        <f>VLOOKUP($B22,基础表!$C:$AP,COLUMN(基础表!G$1)-2,0)</f>
        <v>1.2869999999999999</v>
      </c>
      <c r="E22" s="17">
        <f>VLOOKUP($B22,基础表!$C:$AP,COLUMN(基础表!H$1)-2,0)</f>
        <v>2.63</v>
      </c>
      <c r="F22" s="18">
        <f>VLOOKUP($B22,基础表!$C:$AP,COLUMN(基础表!I$1)-2,0)</f>
        <v>1.901</v>
      </c>
      <c r="G22" s="19">
        <f>VLOOKUP($B22,基础表!$C:$AP,COLUMN(基础表!J$1)-2,0)</f>
        <v>-7.0086705202312083E-2</v>
      </c>
      <c r="H22" s="20">
        <f>VLOOKUP($B22,基础表!$C:$AP,COLUMN(基础表!K$1)-2,0)</f>
        <v>9.3100581878636568E-2</v>
      </c>
      <c r="I22" s="21">
        <f>VLOOKUP($B22,基础表!$C:$AP,COLUMN(基础表!L$1)-2,0)</f>
        <v>-4.7595190380761543E-2</v>
      </c>
      <c r="J22" s="16">
        <f>VLOOKUP($B22,基础表!$C:$AP,COLUMN(基础表!M$1)-2,0)</f>
        <v>1.774</v>
      </c>
      <c r="K22" s="17">
        <f>VLOOKUP($B22,基础表!$C:$AP,COLUMN(基础表!N$1)-2,0)</f>
        <v>2.1869999999999998</v>
      </c>
      <c r="L22" s="20">
        <f>VLOOKUP($B22,基础表!$C:$AP,COLUMN(基础表!O$1)-2,0)</f>
        <v>-0.18884316415180602</v>
      </c>
      <c r="M22" s="17">
        <f>VLOOKUP($B22,基础表!$C:$AP,COLUMN(基础表!P$1)-2,0)</f>
        <v>2.4119999999999999</v>
      </c>
      <c r="N22" s="21">
        <f>VLOOKUP($B22,基础表!$C:$AP,COLUMN(基础表!Q$1)-2,0)</f>
        <v>0.73548922056384702</v>
      </c>
      <c r="O22" s="21">
        <f>VLOOKUP($B22,基础表!$C:$AP,COLUMN(基础表!R$1)-2,0)</f>
        <v>0.20124013528748588</v>
      </c>
      <c r="P22" s="22">
        <f>VLOOKUP($B22,基础表!$C:$AP,COLUMN(基础表!S$1)-2,0)</f>
        <v>0.10484780157835399</v>
      </c>
      <c r="Q22" s="20">
        <f>VLOOKUP($B22,基础表!$C:$AP,COLUMN(基础表!T$1)-2,0)</f>
        <v>0.15614430665163473</v>
      </c>
      <c r="R22" s="20">
        <f>VLOOKUP($B22,基础表!$C:$AP,COLUMN(基础表!U$1)-2,0)</f>
        <v>9.0755355129650508E-2</v>
      </c>
      <c r="S22" s="20">
        <f>VLOOKUP($B22,基础表!$C:$AP,COLUMN(基础表!V$1)-2,0)</f>
        <v>0.10710259301014656</v>
      </c>
      <c r="T22" s="20">
        <f>VLOOKUP($B22,基础表!$C:$AP,COLUMN(基础表!W$1)-2,0)</f>
        <v>0.18545659526493799</v>
      </c>
      <c r="U22" s="20">
        <f>VLOOKUP($B22,基础表!$C:$AP,COLUMN(基础表!X$1)-2,0)</f>
        <v>0.15445321307779031</v>
      </c>
      <c r="V22" s="21">
        <f>VLOOKUP($B22,基础表!$C:$AP,COLUMN(基础表!Y$1)-2,0)</f>
        <v>0</v>
      </c>
      <c r="W22" s="16">
        <f>VLOOKUP($B22,基础表!$C:$AP,COLUMN(基础表!Z$1)-2,0)</f>
        <v>0.35699999999999998</v>
      </c>
      <c r="X22" s="17">
        <f>VLOOKUP($B22,基础表!$C:$AP,COLUMN(基础表!AA$1)-2,0)</f>
        <v>0.186</v>
      </c>
      <c r="Y22" s="17">
        <f>VLOOKUP($B22,基础表!$C:$AP,COLUMN(基础表!AB$1)-2,0)</f>
        <v>0.27700000000000002</v>
      </c>
      <c r="Z22" s="17">
        <f>VLOOKUP($B22,基础表!$C:$AP,COLUMN(基础表!AC$1)-2,0)</f>
        <v>0.161</v>
      </c>
      <c r="AA22" s="17">
        <f>VLOOKUP($B22,基础表!$C:$AP,COLUMN(基础表!AD$1)-2,0)</f>
        <v>0.19</v>
      </c>
      <c r="AB22" s="17">
        <f>VLOOKUP($B22,基础表!$C:$AP,COLUMN(基础表!AE$1)-2,0)</f>
        <v>0.32900000000000001</v>
      </c>
      <c r="AC22" s="17">
        <f>VLOOKUP($B22,基础表!$C:$AP,COLUMN(基础表!AF$1)-2,0)</f>
        <v>0.27400000000000002</v>
      </c>
      <c r="AD22" s="18">
        <f>VLOOKUP($B22,基础表!$C:$AP,COLUMN(基础表!AG$1)-2,0)</f>
        <v>0</v>
      </c>
      <c r="AE22" s="16">
        <f>VLOOKUP($B22,基础表!$C:$AP,COLUMN(基础表!AH$1)-2,0)</f>
        <v>3.036</v>
      </c>
      <c r="AF22" s="95">
        <f>VLOOKUP($B22,基础表!$C:$AP,COLUMN(基础表!AI$1)-2,0)</f>
        <v>2.718</v>
      </c>
      <c r="AG22" s="18">
        <f>VLOOKUP($B22,基础表!$C:$AP,COLUMN(基础表!AJ$1)-2,0)</f>
        <v>-0.31800000000000006</v>
      </c>
      <c r="AH22" s="22">
        <f>IF($C22="哈尔滨OT所","",VLOOKUP($B22,基础表!$C:$AZ,COLUMN(基础表!AQ$1)-2,0))</f>
        <v>0.49706811005863799</v>
      </c>
      <c r="AI22" s="20">
        <f>IF($C22="哈尔滨OT所","",VLOOKUP($B22,基础表!$C:$AZ,COLUMN(基础表!AR$1)-2,0))</f>
        <v>0.77777777777777801</v>
      </c>
      <c r="AJ22" s="21">
        <f>IF($C22="哈尔滨OT所","",VLOOKUP($B22,基础表!$C:$AZ,COLUMN(基础表!AS$1)-2,0))</f>
        <v>1</v>
      </c>
      <c r="AL22" s="8" t="b">
        <f t="shared" si="3"/>
        <v>1</v>
      </c>
      <c r="AM22" s="8" t="b">
        <f t="shared" si="2"/>
        <v>1</v>
      </c>
    </row>
    <row r="23" spans="2:39" x14ac:dyDescent="0.2">
      <c r="B23" s="14">
        <v>15</v>
      </c>
      <c r="C23" s="15" t="str">
        <f>VLOOKUP($B23,基础表!$C:$AP,COLUMN(基础表!F$1)-2,0)</f>
        <v>肇东外埠所</v>
      </c>
      <c r="D23" s="16">
        <f>VLOOKUP($B23,基础表!$C:$AP,COLUMN(基础表!G$1)-2,0)</f>
        <v>1.2110000000000001</v>
      </c>
      <c r="E23" s="17">
        <f>VLOOKUP($B23,基础表!$C:$AP,COLUMN(基础表!H$1)-2,0)</f>
        <v>2.6840000000000002</v>
      </c>
      <c r="F23" s="18">
        <f>VLOOKUP($B23,基础表!$C:$AP,COLUMN(基础表!I$1)-2,0)</f>
        <v>1.7030000000000001</v>
      </c>
      <c r="G23" s="19">
        <f>VLOOKUP($B23,基础表!$C:$AP,COLUMN(基础表!J$1)-2,0)</f>
        <v>-0.24501246882793015</v>
      </c>
      <c r="H23" s="20">
        <f>VLOOKUP($B23,基础表!$C:$AP,COLUMN(基础表!K$1)-2,0)</f>
        <v>-0.11652402896642522</v>
      </c>
      <c r="I23" s="21">
        <f>VLOOKUP($B23,基础表!$C:$AP,COLUMN(基础表!L$1)-2,0)</f>
        <v>-0.12756147540983598</v>
      </c>
      <c r="J23" s="16">
        <f>VLOOKUP($B23,基础表!$C:$AP,COLUMN(基础表!M$1)-2,0)</f>
        <v>1.4910000000000001</v>
      </c>
      <c r="K23" s="17">
        <f>VLOOKUP($B23,基础表!$C:$AP,COLUMN(基础表!N$1)-2,0)</f>
        <v>2.0819999999999999</v>
      </c>
      <c r="L23" s="20">
        <f>VLOOKUP($B23,基础表!$C:$AP,COLUMN(基础表!O$1)-2,0)</f>
        <v>-0.28386167146974051</v>
      </c>
      <c r="M23" s="17">
        <f>VLOOKUP($B23,基础表!$C:$AP,COLUMN(基础表!P$1)-2,0)</f>
        <v>2.0819999999999999</v>
      </c>
      <c r="N23" s="21">
        <f>VLOOKUP($B23,基础表!$C:$AP,COLUMN(基础表!Q$1)-2,0)</f>
        <v>0.71613832853025894</v>
      </c>
      <c r="O23" s="21">
        <f>VLOOKUP($B23,基础表!$C:$AP,COLUMN(基础表!R$1)-2,0)</f>
        <v>0.13816230717639166</v>
      </c>
      <c r="P23" s="22">
        <f>VLOOKUP($B23,基础表!$C:$AP,COLUMN(基础表!S$1)-2,0)</f>
        <v>0.14419852448021461</v>
      </c>
      <c r="Q23" s="20">
        <f>VLOOKUP($B23,基础表!$C:$AP,COLUMN(基础表!T$1)-2,0)</f>
        <v>0.19450033534540573</v>
      </c>
      <c r="R23" s="20">
        <f>VLOOKUP($B23,基础表!$C:$AP,COLUMN(基础表!U$1)-2,0)</f>
        <v>0.15425888665325285</v>
      </c>
      <c r="S23" s="20">
        <f>VLOOKUP($B23,基础表!$C:$AP,COLUMN(基础表!V$1)-2,0)</f>
        <v>0.14419852448021461</v>
      </c>
      <c r="T23" s="20">
        <f>VLOOKUP($B23,基础表!$C:$AP,COLUMN(基础表!W$1)-2,0)</f>
        <v>0.11401743796109994</v>
      </c>
      <c r="U23" s="20">
        <f>VLOOKUP($B23,基础表!$C:$AP,COLUMN(基础表!X$1)-2,0)</f>
        <v>0.11066398390342053</v>
      </c>
      <c r="V23" s="21">
        <f>VLOOKUP($B23,基础表!$C:$AP,COLUMN(基础表!Y$1)-2,0)</f>
        <v>0</v>
      </c>
      <c r="W23" s="16">
        <f>VLOOKUP($B23,基础表!$C:$AP,COLUMN(基础表!Z$1)-2,0)</f>
        <v>0.20599999999999999</v>
      </c>
      <c r="X23" s="17">
        <f>VLOOKUP($B23,基础表!$C:$AP,COLUMN(基础表!AA$1)-2,0)</f>
        <v>0.215</v>
      </c>
      <c r="Y23" s="17">
        <f>VLOOKUP($B23,基础表!$C:$AP,COLUMN(基础表!AB$1)-2,0)</f>
        <v>0.28999999999999998</v>
      </c>
      <c r="Z23" s="17">
        <f>VLOOKUP($B23,基础表!$C:$AP,COLUMN(基础表!AC$1)-2,0)</f>
        <v>0.23</v>
      </c>
      <c r="AA23" s="17">
        <f>VLOOKUP($B23,基础表!$C:$AP,COLUMN(基础表!AD$1)-2,0)</f>
        <v>0.215</v>
      </c>
      <c r="AB23" s="17">
        <f>VLOOKUP($B23,基础表!$C:$AP,COLUMN(基础表!AE$1)-2,0)</f>
        <v>0.17</v>
      </c>
      <c r="AC23" s="17">
        <f>VLOOKUP($B23,基础表!$C:$AP,COLUMN(基础表!AF$1)-2,0)</f>
        <v>0.16500000000000001</v>
      </c>
      <c r="AD23" s="18">
        <f>VLOOKUP($B23,基础表!$C:$AP,COLUMN(基础表!AG$1)-2,0)</f>
        <v>0</v>
      </c>
      <c r="AE23" s="16">
        <f>VLOOKUP($B23,基础表!$C:$AP,COLUMN(基础表!AH$1)-2,0)</f>
        <v>2.4390000000000001</v>
      </c>
      <c r="AF23" s="95">
        <f>VLOOKUP($B23,基础表!$C:$AP,COLUMN(基础表!AI$1)-2,0)</f>
        <v>2.371</v>
      </c>
      <c r="AG23" s="18">
        <f>VLOOKUP($B23,基础表!$C:$AP,COLUMN(基础表!AJ$1)-2,0)</f>
        <v>-6.800000000000006E-2</v>
      </c>
      <c r="AH23" s="22">
        <f>IF($C23="哈尔滨OT所","",VLOOKUP($B23,基础表!$C:$AZ,COLUMN(基础表!AQ$1)-2,0))</f>
        <v>0.866528354080221</v>
      </c>
      <c r="AI23" s="20">
        <f>IF($C23="哈尔滨OT所","",VLOOKUP($B23,基础表!$C:$AZ,COLUMN(基础表!AR$1)-2,0))</f>
        <v>0.96062992125984292</v>
      </c>
      <c r="AJ23" s="21">
        <f>IF($C23="哈尔滨OT所","",VLOOKUP($B23,基础表!$C:$AZ,COLUMN(基础表!AS$1)-2,0))</f>
        <v>0.98425196850393704</v>
      </c>
      <c r="AL23" s="8" t="b">
        <f t="shared" si="3"/>
        <v>1</v>
      </c>
      <c r="AM23" s="8" t="b">
        <f t="shared" si="2"/>
        <v>1</v>
      </c>
    </row>
    <row r="24" spans="2:39" x14ac:dyDescent="0.2">
      <c r="B24" s="14">
        <v>16</v>
      </c>
      <c r="C24" s="15" t="str">
        <f>VLOOKUP($B24,基础表!$C:$AP,COLUMN(基础表!F$1)-2,0)</f>
        <v>龙江外埠所</v>
      </c>
      <c r="D24" s="16">
        <f>VLOOKUP($B24,基础表!$C:$AP,COLUMN(基础表!G$1)-2,0)</f>
        <v>1.2470000000000001</v>
      </c>
      <c r="E24" s="17">
        <f>VLOOKUP($B24,基础表!$C:$AP,COLUMN(基础表!H$1)-2,0)</f>
        <v>2.4820000000000002</v>
      </c>
      <c r="F24" s="18">
        <f>VLOOKUP($B24,基础表!$C:$AP,COLUMN(基础表!I$1)-2,0)</f>
        <v>1.8460000000000001</v>
      </c>
      <c r="G24" s="19">
        <f>VLOOKUP($B24,基础表!$C:$AP,COLUMN(基础表!J$1)-2,0)</f>
        <v>-9.4408133623819834E-2</v>
      </c>
      <c r="H24" s="20">
        <f>VLOOKUP($B24,基础表!$C:$AP,COLUMN(基础表!K$1)-2,0)</f>
        <v>2.0185708518369871E-3</v>
      </c>
      <c r="I24" s="21">
        <f>VLOOKUP($B24,基础表!$C:$AP,COLUMN(基础表!L$1)-2,0)</f>
        <v>-0.11335254562920261</v>
      </c>
      <c r="J24" s="16">
        <f>VLOOKUP($B24,基础表!$C:$AP,COLUMN(基础表!M$1)-2,0)</f>
        <v>2.0739999999999998</v>
      </c>
      <c r="K24" s="17">
        <f>VLOOKUP($B24,基础表!$C:$AP,COLUMN(基础表!N$1)-2,0)</f>
        <v>2.7280000000000002</v>
      </c>
      <c r="L24" s="20">
        <f>VLOOKUP($B24,基础表!$C:$AP,COLUMN(基础表!O$1)-2,0)</f>
        <v>-0.23973607038123179</v>
      </c>
      <c r="M24" s="17">
        <f>VLOOKUP($B24,基础表!$C:$AP,COLUMN(基础表!P$1)-2,0)</f>
        <v>3.0739999999999998</v>
      </c>
      <c r="N24" s="21">
        <f>VLOOKUP($B24,基础表!$C:$AP,COLUMN(基础表!Q$1)-2,0)</f>
        <v>0.67469095640858801</v>
      </c>
      <c r="O24" s="21">
        <f>VLOOKUP($B24,基础表!$C:$AP,COLUMN(基础表!R$1)-2,0)</f>
        <v>0.18081002892960465</v>
      </c>
      <c r="P24" s="22">
        <f>VLOOKUP($B24,基础表!$C:$AP,COLUMN(基础表!S$1)-2,0)</f>
        <v>6.2680810028929612E-2</v>
      </c>
      <c r="Q24" s="20">
        <f>VLOOKUP($B24,基础表!$C:$AP,COLUMN(基础表!T$1)-2,0)</f>
        <v>0.1513982642237223</v>
      </c>
      <c r="R24" s="20">
        <f>VLOOKUP($B24,基础表!$C:$AP,COLUMN(基础表!U$1)-2,0)</f>
        <v>0.15621986499517843</v>
      </c>
      <c r="S24" s="20">
        <f>VLOOKUP($B24,基础表!$C:$AP,COLUMN(基础表!V$1)-2,0)</f>
        <v>0.15911282545805208</v>
      </c>
      <c r="T24" s="20">
        <f>VLOOKUP($B24,基础表!$C:$AP,COLUMN(基础表!W$1)-2,0)</f>
        <v>0.11089681774349085</v>
      </c>
      <c r="U24" s="20">
        <f>VLOOKUP($B24,基础表!$C:$AP,COLUMN(基础表!X$1)-2,0)</f>
        <v>0.17888138862102218</v>
      </c>
      <c r="V24" s="21">
        <f>VLOOKUP($B24,基础表!$C:$AP,COLUMN(基础表!Y$1)-2,0)</f>
        <v>0</v>
      </c>
      <c r="W24" s="16">
        <f>VLOOKUP($B24,基础表!$C:$AP,COLUMN(基础表!Z$1)-2,0)</f>
        <v>0.375</v>
      </c>
      <c r="X24" s="17">
        <f>VLOOKUP($B24,基础表!$C:$AP,COLUMN(基础表!AA$1)-2,0)</f>
        <v>0.13</v>
      </c>
      <c r="Y24" s="17">
        <f>VLOOKUP($B24,基础表!$C:$AP,COLUMN(基础表!AB$1)-2,0)</f>
        <v>0.314</v>
      </c>
      <c r="Z24" s="17">
        <f>VLOOKUP($B24,基础表!$C:$AP,COLUMN(基础表!AC$1)-2,0)</f>
        <v>0.32400000000000001</v>
      </c>
      <c r="AA24" s="17">
        <f>VLOOKUP($B24,基础表!$C:$AP,COLUMN(基础表!AD$1)-2,0)</f>
        <v>0.33</v>
      </c>
      <c r="AB24" s="17">
        <f>VLOOKUP($B24,基础表!$C:$AP,COLUMN(基础表!AE$1)-2,0)</f>
        <v>0.23</v>
      </c>
      <c r="AC24" s="17">
        <f>VLOOKUP($B24,基础表!$C:$AP,COLUMN(基础表!AF$1)-2,0)</f>
        <v>0.371</v>
      </c>
      <c r="AD24" s="18">
        <f>VLOOKUP($B24,基础表!$C:$AP,COLUMN(基础表!AG$1)-2,0)</f>
        <v>0</v>
      </c>
      <c r="AE24" s="16">
        <f>VLOOKUP($B24,基础表!$C:$AP,COLUMN(基础表!AH$1)-2,0)</f>
        <v>2.5289999999999999</v>
      </c>
      <c r="AF24" s="95">
        <f>VLOOKUP($B24,基础表!$C:$AP,COLUMN(基础表!AI$1)-2,0)</f>
        <v>2.4510000000000001</v>
      </c>
      <c r="AG24" s="18">
        <f>VLOOKUP($B24,基础表!$C:$AP,COLUMN(基础表!AJ$1)-2,0)</f>
        <v>-7.7999999999999847E-2</v>
      </c>
      <c r="AH24" s="22">
        <f>IF($C24="哈尔滨OT所","",VLOOKUP($B24,基础表!$C:$AZ,COLUMN(基础表!AQ$1)-2,0))</f>
        <v>0.73257211538461509</v>
      </c>
      <c r="AI24" s="20">
        <f>IF($C24="哈尔滨OT所","",VLOOKUP($B24,基础表!$C:$AZ,COLUMN(基础表!AR$1)-2,0))</f>
        <v>0.875</v>
      </c>
      <c r="AJ24" s="21">
        <f>IF($C24="哈尔滨OT所","",VLOOKUP($B24,基础表!$C:$AZ,COLUMN(基础表!AS$1)-2,0))</f>
        <v>1</v>
      </c>
      <c r="AL24" s="8" t="b">
        <f t="shared" si="3"/>
        <v>1</v>
      </c>
      <c r="AM24" s="8" t="b">
        <f t="shared" si="2"/>
        <v>1</v>
      </c>
    </row>
    <row r="25" spans="2:39" x14ac:dyDescent="0.2">
      <c r="B25" s="14">
        <v>17</v>
      </c>
      <c r="C25" s="15" t="str">
        <f>VLOOKUP($B25,基础表!$C:$AP,COLUMN(基础表!F$1)-2,0)</f>
        <v>哈尔滨综合东所</v>
      </c>
      <c r="D25" s="16">
        <f>VLOOKUP($B25,基础表!$C:$AP,COLUMN(基础表!G$1)-2,0)</f>
        <v>0.63300000000000001</v>
      </c>
      <c r="E25" s="17">
        <f>VLOOKUP($B25,基础表!$C:$AP,COLUMN(基础表!H$1)-2,0)</f>
        <v>1.1839999999999999</v>
      </c>
      <c r="F25" s="18">
        <f>VLOOKUP($B25,基础表!$C:$AP,COLUMN(基础表!I$1)-2,0)</f>
        <v>0.82499999999999996</v>
      </c>
      <c r="G25" s="19">
        <f>VLOOKUP($B25,基础表!$C:$AP,COLUMN(基础表!J$1)-2,0)</f>
        <v>-3.9453717754173057E-2</v>
      </c>
      <c r="H25" s="20">
        <f>VLOOKUP($B25,基础表!$C:$AP,COLUMN(基础表!K$1)-2,0)</f>
        <v>0.15175097276264582</v>
      </c>
      <c r="I25" s="21">
        <f>VLOOKUP($B25,基础表!$C:$AP,COLUMN(基础表!L$1)-2,0)</f>
        <v>9.8535286284953338E-2</v>
      </c>
      <c r="J25" s="16">
        <f>VLOOKUP($B25,基础表!$C:$AP,COLUMN(基础表!M$1)-2,0)</f>
        <v>0.88500000000000001</v>
      </c>
      <c r="K25" s="17">
        <f>VLOOKUP($B25,基础表!$C:$AP,COLUMN(基础表!N$1)-2,0)</f>
        <v>1.569</v>
      </c>
      <c r="L25" s="20">
        <f>VLOOKUP($B25,基础表!$C:$AP,COLUMN(基础表!O$1)-2,0)</f>
        <v>-0.43594646271510518</v>
      </c>
      <c r="M25" s="17">
        <f>VLOOKUP($B25,基础表!$C:$AP,COLUMN(基础表!P$1)-2,0)</f>
        <v>1.405</v>
      </c>
      <c r="N25" s="21">
        <f>VLOOKUP($B25,基础表!$C:$AP,COLUMN(基础表!Q$1)-2,0)</f>
        <v>0.629893238434164</v>
      </c>
      <c r="O25" s="21">
        <f>VLOOKUP($B25,基础表!$C:$AP,COLUMN(基础表!R$1)-2,0)</f>
        <v>0.14237288135593221</v>
      </c>
      <c r="P25" s="22">
        <f>VLOOKUP($B25,基础表!$C:$AP,COLUMN(基础表!S$1)-2,0)</f>
        <v>0.13559322033898305</v>
      </c>
      <c r="Q25" s="20">
        <f>VLOOKUP($B25,基础表!$C:$AP,COLUMN(基础表!T$1)-2,0)</f>
        <v>0.18305084745762712</v>
      </c>
      <c r="R25" s="20">
        <f>VLOOKUP($B25,基础表!$C:$AP,COLUMN(基础表!U$1)-2,0)</f>
        <v>0.16384180790960451</v>
      </c>
      <c r="S25" s="20">
        <f>VLOOKUP($B25,基础表!$C:$AP,COLUMN(基础表!V$1)-2,0)</f>
        <v>0.103954802259887</v>
      </c>
      <c r="T25" s="20">
        <f>VLOOKUP($B25,基础表!$C:$AP,COLUMN(基础表!W$1)-2,0)</f>
        <v>0.1175141242937853</v>
      </c>
      <c r="U25" s="20">
        <f>VLOOKUP($B25,基础表!$C:$AP,COLUMN(基础表!X$1)-2,0)</f>
        <v>0.1536723163841808</v>
      </c>
      <c r="V25" s="21">
        <f>VLOOKUP($B25,基础表!$C:$AP,COLUMN(基础表!Y$1)-2,0)</f>
        <v>0</v>
      </c>
      <c r="W25" s="16">
        <f>VLOOKUP($B25,基础表!$C:$AP,COLUMN(基础表!Z$1)-2,0)</f>
        <v>0.126</v>
      </c>
      <c r="X25" s="17">
        <f>VLOOKUP($B25,基础表!$C:$AP,COLUMN(基础表!AA$1)-2,0)</f>
        <v>0.12</v>
      </c>
      <c r="Y25" s="17">
        <f>VLOOKUP($B25,基础表!$C:$AP,COLUMN(基础表!AB$1)-2,0)</f>
        <v>0.16200000000000001</v>
      </c>
      <c r="Z25" s="17">
        <f>VLOOKUP($B25,基础表!$C:$AP,COLUMN(基础表!AC$1)-2,0)</f>
        <v>0.14499999999999999</v>
      </c>
      <c r="AA25" s="17">
        <f>VLOOKUP($B25,基础表!$C:$AP,COLUMN(基础表!AD$1)-2,0)</f>
        <v>9.1999999999999998E-2</v>
      </c>
      <c r="AB25" s="17">
        <f>VLOOKUP($B25,基础表!$C:$AP,COLUMN(基础表!AE$1)-2,0)</f>
        <v>0.104</v>
      </c>
      <c r="AC25" s="17">
        <f>VLOOKUP($B25,基础表!$C:$AP,COLUMN(基础表!AF$1)-2,0)</f>
        <v>0.13600000000000001</v>
      </c>
      <c r="AD25" s="18">
        <f>VLOOKUP($B25,基础表!$C:$AP,COLUMN(基础表!AG$1)-2,0)</f>
        <v>0</v>
      </c>
      <c r="AE25" s="16">
        <f>VLOOKUP($B25,基础表!$C:$AP,COLUMN(基础表!AH$1)-2,0)</f>
        <v>0.33900000000000002</v>
      </c>
      <c r="AF25" s="95">
        <f>VLOOKUP($B25,基础表!$C:$AP,COLUMN(基础表!AI$1)-2,0)</f>
        <v>0.54100000000000004</v>
      </c>
      <c r="AG25" s="18">
        <f>VLOOKUP($B25,基础表!$C:$AP,COLUMN(基础表!AJ$1)-2,0)</f>
        <v>0.20200000000000001</v>
      </c>
      <c r="AH25" s="22">
        <f>IF($C25="哈尔滨OT所","",VLOOKUP($B25,基础表!$C:$AZ,COLUMN(基础表!AQ$1)-2,0))</f>
        <v>0.87797619047619091</v>
      </c>
      <c r="AI25" s="20">
        <f>IF($C25="哈尔滨OT所","",VLOOKUP($B25,基础表!$C:$AZ,COLUMN(基础表!AR$1)-2,0))</f>
        <v>1</v>
      </c>
      <c r="AJ25" s="21">
        <f>IF($C25="哈尔滨OT所","",VLOOKUP($B25,基础表!$C:$AZ,COLUMN(基础表!AS$1)-2,0))</f>
        <v>1</v>
      </c>
      <c r="AL25" s="8" t="b">
        <f t="shared" si="3"/>
        <v>1</v>
      </c>
      <c r="AM25" s="8" t="b">
        <f t="shared" si="2"/>
        <v>1</v>
      </c>
    </row>
    <row r="26" spans="2:39" x14ac:dyDescent="0.2">
      <c r="B26" s="14">
        <v>18</v>
      </c>
      <c r="C26" s="15" t="str">
        <f>VLOOKUP($B26,基础表!$C:$AP,COLUMN(基础表!F$1)-2,0)</f>
        <v>哈尔滨综合西所</v>
      </c>
      <c r="D26" s="16">
        <f>VLOOKUP($B26,基础表!$C:$AP,COLUMN(基础表!G$1)-2,0)</f>
        <v>0.58899999999999997</v>
      </c>
      <c r="E26" s="17">
        <f>VLOOKUP($B26,基础表!$C:$AP,COLUMN(基础表!H$1)-2,0)</f>
        <v>1.125</v>
      </c>
      <c r="F26" s="18">
        <f>VLOOKUP($B26,基础表!$C:$AP,COLUMN(基础表!I$1)-2,0)</f>
        <v>0.64500000000000002</v>
      </c>
      <c r="G26" s="19">
        <f>VLOOKUP($B26,基础表!$C:$AP,COLUMN(基础表!J$1)-2,0)</f>
        <v>-0.16925246826516216</v>
      </c>
      <c r="H26" s="20">
        <f>VLOOKUP($B26,基础表!$C:$AP,COLUMN(基础表!K$1)-2,0)</f>
        <v>7.1620411817368002E-3</v>
      </c>
      <c r="I26" s="21">
        <f>VLOOKUP($B26,基础表!$C:$AP,COLUMN(基础表!L$1)-2,0)</f>
        <v>1.8957345971563955E-2</v>
      </c>
      <c r="J26" s="16">
        <f>VLOOKUP($B26,基础表!$C:$AP,COLUMN(基础表!M$1)-2,0)</f>
        <v>0.79</v>
      </c>
      <c r="K26" s="17">
        <f>VLOOKUP($B26,基础表!$C:$AP,COLUMN(基础表!N$1)-2,0)</f>
        <v>1.478</v>
      </c>
      <c r="L26" s="20">
        <f>VLOOKUP($B26,基础表!$C:$AP,COLUMN(基础表!O$1)-2,0)</f>
        <v>-0.4654939106901218</v>
      </c>
      <c r="M26" s="17">
        <f>VLOOKUP($B26,基础表!$C:$AP,COLUMN(基础表!P$1)-2,0)</f>
        <v>1.3240000000000001</v>
      </c>
      <c r="N26" s="21">
        <f>VLOOKUP($B26,基础表!$C:$AP,COLUMN(基础表!Q$1)-2,0)</f>
        <v>0.59667673716012093</v>
      </c>
      <c r="O26" s="21">
        <f>VLOOKUP($B26,基础表!$C:$AP,COLUMN(基础表!R$1)-2,0)</f>
        <v>0.21265822784810126</v>
      </c>
      <c r="P26" s="22">
        <f>VLOOKUP($B26,基础表!$C:$AP,COLUMN(基础表!S$1)-2,0)</f>
        <v>0.11139240506329112</v>
      </c>
      <c r="Q26" s="20">
        <f>VLOOKUP($B26,基础表!$C:$AP,COLUMN(基础表!T$1)-2,0)</f>
        <v>0.21139240506329116</v>
      </c>
      <c r="R26" s="20">
        <f>VLOOKUP($B26,基础表!$C:$AP,COLUMN(基础表!U$1)-2,0)</f>
        <v>9.8734177215189872E-2</v>
      </c>
      <c r="S26" s="20">
        <f>VLOOKUP($B26,基础表!$C:$AP,COLUMN(基础表!V$1)-2,0)</f>
        <v>0.16202531645569621</v>
      </c>
      <c r="T26" s="20">
        <f>VLOOKUP($B26,基础表!$C:$AP,COLUMN(基础表!W$1)-2,0)</f>
        <v>0.13037974683544301</v>
      </c>
      <c r="U26" s="20">
        <f>VLOOKUP($B26,基础表!$C:$AP,COLUMN(基础表!X$1)-2,0)</f>
        <v>7.3417721518987344E-2</v>
      </c>
      <c r="V26" s="21">
        <f>VLOOKUP($B26,基础表!$C:$AP,COLUMN(基础表!Y$1)-2,0)</f>
        <v>0</v>
      </c>
      <c r="W26" s="16">
        <f>VLOOKUP($B26,基础表!$C:$AP,COLUMN(基础表!Z$1)-2,0)</f>
        <v>0.16800000000000001</v>
      </c>
      <c r="X26" s="17">
        <f>VLOOKUP($B26,基础表!$C:$AP,COLUMN(基础表!AA$1)-2,0)</f>
        <v>8.7999999999999995E-2</v>
      </c>
      <c r="Y26" s="17">
        <f>VLOOKUP($B26,基础表!$C:$AP,COLUMN(基础表!AB$1)-2,0)</f>
        <v>0.16700000000000001</v>
      </c>
      <c r="Z26" s="17">
        <f>VLOOKUP($B26,基础表!$C:$AP,COLUMN(基础表!AC$1)-2,0)</f>
        <v>7.8E-2</v>
      </c>
      <c r="AA26" s="17">
        <f>VLOOKUP($B26,基础表!$C:$AP,COLUMN(基础表!AD$1)-2,0)</f>
        <v>0.128</v>
      </c>
      <c r="AB26" s="17">
        <f>VLOOKUP($B26,基础表!$C:$AP,COLUMN(基础表!AE$1)-2,0)</f>
        <v>0.10299999999999999</v>
      </c>
      <c r="AC26" s="17">
        <f>VLOOKUP($B26,基础表!$C:$AP,COLUMN(基础表!AF$1)-2,0)</f>
        <v>5.8000000000000003E-2</v>
      </c>
      <c r="AD26" s="18">
        <f>VLOOKUP($B26,基础表!$C:$AP,COLUMN(基础表!AG$1)-2,0)</f>
        <v>0</v>
      </c>
      <c r="AE26" s="16">
        <f>VLOOKUP($B26,基础表!$C:$AP,COLUMN(基础表!AH$1)-2,0)</f>
        <v>0.252</v>
      </c>
      <c r="AF26" s="95">
        <f>VLOOKUP($B26,基础表!$C:$AP,COLUMN(基础表!AI$1)-2,0)</f>
        <v>0.34300000000000003</v>
      </c>
      <c r="AG26" s="18">
        <f>VLOOKUP($B26,基础表!$C:$AP,COLUMN(基础表!AJ$1)-2,0)</f>
        <v>9.1000000000000025E-2</v>
      </c>
      <c r="AH26" s="22">
        <f>IF($C26="哈尔滨OT所","",VLOOKUP($B26,基础表!$C:$AZ,COLUMN(基础表!AQ$1)-2,0))</f>
        <v>0.94494047619047605</v>
      </c>
      <c r="AI26" s="20">
        <f>IF($C26="哈尔滨OT所","",VLOOKUP($B26,基础表!$C:$AZ,COLUMN(基础表!AR$1)-2,0))</f>
        <v>1</v>
      </c>
      <c r="AJ26" s="21">
        <f>IF($C26="哈尔滨OT所","",VLOOKUP($B26,基础表!$C:$AZ,COLUMN(基础表!AS$1)-2,0))</f>
        <v>1</v>
      </c>
      <c r="AL26" s="8" t="b">
        <f t="shared" si="3"/>
        <v>1</v>
      </c>
      <c r="AM26" s="8" t="b">
        <f t="shared" si="2"/>
        <v>1</v>
      </c>
    </row>
    <row r="27" spans="2:39" x14ac:dyDescent="0.2">
      <c r="B27" s="14">
        <v>19</v>
      </c>
      <c r="C27" s="15" t="str">
        <f>VLOOKUP($B27,基础表!$C:$AP,COLUMN(基础表!F$1)-2,0)</f>
        <v>鸡西城区所</v>
      </c>
      <c r="D27" s="16">
        <f>VLOOKUP($B27,基础表!$C:$AP,COLUMN(基础表!G$1)-2,0)</f>
        <v>0.83299999999999996</v>
      </c>
      <c r="E27" s="17">
        <f>VLOOKUP($B27,基础表!$C:$AP,COLUMN(基础表!H$1)-2,0)</f>
        <v>0.93700000000000006</v>
      </c>
      <c r="F27" s="18">
        <f>VLOOKUP($B27,基础表!$C:$AP,COLUMN(基础表!I$1)-2,0)</f>
        <v>1.06</v>
      </c>
      <c r="G27" s="19">
        <f>VLOOKUP($B27,基础表!$C:$AP,COLUMN(基础表!J$1)-2,0)</f>
        <v>-2.2300469483568119E-2</v>
      </c>
      <c r="H27" s="20">
        <f>VLOOKUP($B27,基础表!$C:$AP,COLUMN(基础表!K$1)-2,0)</f>
        <v>-2.1920668058455051E-2</v>
      </c>
      <c r="I27" s="21">
        <f>VLOOKUP($B27,基础表!$C:$AP,COLUMN(基础表!L$1)-2,0)</f>
        <v>-4.8473967684021568E-2</v>
      </c>
      <c r="J27" s="16">
        <f>VLOOKUP($B27,基础表!$C:$AP,COLUMN(基础表!M$1)-2,0)</f>
        <v>0.67700000000000005</v>
      </c>
      <c r="K27" s="17">
        <f>VLOOKUP($B27,基础表!$C:$AP,COLUMN(基础表!N$1)-2,0)</f>
        <v>1.05</v>
      </c>
      <c r="L27" s="20">
        <f>VLOOKUP($B27,基础表!$C:$AP,COLUMN(基础表!O$1)-2,0)</f>
        <v>-0.35523809523809524</v>
      </c>
      <c r="M27" s="17">
        <f>VLOOKUP($B27,基础表!$C:$AP,COLUMN(基础表!P$1)-2,0)</f>
        <v>1.1359999999999999</v>
      </c>
      <c r="N27" s="21">
        <f>VLOOKUP($B27,基础表!$C:$AP,COLUMN(基础表!Q$1)-2,0)</f>
        <v>0.59595070422535201</v>
      </c>
      <c r="O27" s="21">
        <f>VLOOKUP($B27,基础表!$C:$AP,COLUMN(基础表!R$1)-2,0)</f>
        <v>0.25849335302806498</v>
      </c>
      <c r="P27" s="22">
        <f>VLOOKUP($B27,基础表!$C:$AP,COLUMN(基础表!S$1)-2,0)</f>
        <v>9.4534711964549475E-2</v>
      </c>
      <c r="Q27" s="20">
        <f>VLOOKUP($B27,基础表!$C:$AP,COLUMN(基础表!T$1)-2,0)</f>
        <v>6.7946824224519933E-2</v>
      </c>
      <c r="R27" s="20">
        <f>VLOOKUP($B27,基础表!$C:$AP,COLUMN(基础表!U$1)-2,0)</f>
        <v>6.9423929098966025E-2</v>
      </c>
      <c r="S27" s="20">
        <f>VLOOKUP($B27,基础表!$C:$AP,COLUMN(基础表!V$1)-2,0)</f>
        <v>0.16248153618906941</v>
      </c>
      <c r="T27" s="20">
        <f>VLOOKUP($B27,基础表!$C:$AP,COLUMN(基础表!W$1)-2,0)</f>
        <v>0.11078286558345642</v>
      </c>
      <c r="U27" s="20">
        <f>VLOOKUP($B27,基础表!$C:$AP,COLUMN(基础表!X$1)-2,0)</f>
        <v>0.2363367799113737</v>
      </c>
      <c r="V27" s="21">
        <f>VLOOKUP($B27,基础表!$C:$AP,COLUMN(基础表!Y$1)-2,0)</f>
        <v>0</v>
      </c>
      <c r="W27" s="16">
        <f>VLOOKUP($B27,基础表!$C:$AP,COLUMN(基础表!Z$1)-2,0)</f>
        <v>0.17499999999999999</v>
      </c>
      <c r="X27" s="17">
        <f>VLOOKUP($B27,基础表!$C:$AP,COLUMN(基础表!AA$1)-2,0)</f>
        <v>6.4000000000000001E-2</v>
      </c>
      <c r="Y27" s="17">
        <f>VLOOKUP($B27,基础表!$C:$AP,COLUMN(基础表!AB$1)-2,0)</f>
        <v>4.5999999999999999E-2</v>
      </c>
      <c r="Z27" s="17">
        <f>VLOOKUP($B27,基础表!$C:$AP,COLUMN(基础表!AC$1)-2,0)</f>
        <v>4.7E-2</v>
      </c>
      <c r="AA27" s="17">
        <f>VLOOKUP($B27,基础表!$C:$AP,COLUMN(基础表!AD$1)-2,0)</f>
        <v>0.11</v>
      </c>
      <c r="AB27" s="17">
        <f>VLOOKUP($B27,基础表!$C:$AP,COLUMN(基础表!AE$1)-2,0)</f>
        <v>7.4999999999999997E-2</v>
      </c>
      <c r="AC27" s="17">
        <f>VLOOKUP($B27,基础表!$C:$AP,COLUMN(基础表!AF$1)-2,0)</f>
        <v>0.16</v>
      </c>
      <c r="AD27" s="18">
        <f>VLOOKUP($B27,基础表!$C:$AP,COLUMN(基础表!AG$1)-2,0)</f>
        <v>0</v>
      </c>
      <c r="AE27" s="16">
        <f>VLOOKUP($B27,基础表!$C:$AP,COLUMN(基础表!AH$1)-2,0)</f>
        <v>1.393</v>
      </c>
      <c r="AF27" s="95">
        <f>VLOOKUP($B27,基础表!$C:$AP,COLUMN(基础表!AI$1)-2,0)</f>
        <v>1.246</v>
      </c>
      <c r="AG27" s="18">
        <f>VLOOKUP($B27,基础表!$C:$AP,COLUMN(基础表!AJ$1)-2,0)</f>
        <v>-0.14700000000000002</v>
      </c>
      <c r="AH27" s="22">
        <f>IF($C27="哈尔滨OT所","",VLOOKUP($B27,基础表!$C:$AZ,COLUMN(基础表!AQ$1)-2,0))</f>
        <v>0.558970099667774</v>
      </c>
      <c r="AI27" s="20">
        <f>IF($C27="哈尔滨OT所","",VLOOKUP($B27,基础表!$C:$AZ,COLUMN(基础表!AR$1)-2,0))</f>
        <v>1</v>
      </c>
      <c r="AJ27" s="21">
        <f>IF($C27="哈尔滨OT所","",VLOOKUP($B27,基础表!$C:$AZ,COLUMN(基础表!AS$1)-2,0))</f>
        <v>1</v>
      </c>
      <c r="AL27" s="8" t="b">
        <f t="shared" si="3"/>
        <v>1</v>
      </c>
      <c r="AM27" s="8" t="b">
        <f t="shared" si="2"/>
        <v>1</v>
      </c>
    </row>
    <row r="28" spans="2:39" x14ac:dyDescent="0.2">
      <c r="B28" s="14">
        <v>20</v>
      </c>
      <c r="C28" s="15" t="str">
        <f>VLOOKUP($B28,基础表!$C:$AP,COLUMN(基础表!F$1)-2,0)</f>
        <v>佳木斯城区所</v>
      </c>
      <c r="D28" s="16">
        <f>VLOOKUP($B28,基础表!$C:$AP,COLUMN(基础表!G$1)-2,0)</f>
        <v>0.52700000000000002</v>
      </c>
      <c r="E28" s="17">
        <f>VLOOKUP($B28,基础表!$C:$AP,COLUMN(基础表!H$1)-2,0)</f>
        <v>0.91400000000000003</v>
      </c>
      <c r="F28" s="18">
        <f>VLOOKUP($B28,基础表!$C:$AP,COLUMN(基础表!I$1)-2,0)</f>
        <v>0.42299999999999999</v>
      </c>
      <c r="G28" s="19">
        <f>VLOOKUP($B28,基础表!$C:$AP,COLUMN(基础表!J$1)-2,0)</f>
        <v>-0.18547140649149918</v>
      </c>
      <c r="H28" s="20">
        <f>VLOOKUP($B28,基础表!$C:$AP,COLUMN(基础表!K$1)-2,0)</f>
        <v>-4.3572984749455923E-3</v>
      </c>
      <c r="I28" s="21">
        <f>VLOOKUP($B28,基础表!$C:$AP,COLUMN(基础表!L$1)-2,0)</f>
        <v>-0.21811460258780047</v>
      </c>
      <c r="J28" s="16">
        <f>VLOOKUP($B28,基础表!$C:$AP,COLUMN(基础表!M$1)-2,0)</f>
        <v>0.39</v>
      </c>
      <c r="K28" s="17">
        <f>VLOOKUP($B28,基础表!$C:$AP,COLUMN(基础表!N$1)-2,0)</f>
        <v>0.72799999999999998</v>
      </c>
      <c r="L28" s="20">
        <f>VLOOKUP($B28,基础表!$C:$AP,COLUMN(基础表!O$1)-2,0)</f>
        <v>-0.4642857142857143</v>
      </c>
      <c r="M28" s="17">
        <f>VLOOKUP($B28,基础表!$C:$AP,COLUMN(基础表!P$1)-2,0)</f>
        <v>0.68600000000000005</v>
      </c>
      <c r="N28" s="21">
        <f>VLOOKUP($B28,基础表!$C:$AP,COLUMN(基础表!Q$1)-2,0)</f>
        <v>0.56851311953352801</v>
      </c>
      <c r="O28" s="21">
        <f>VLOOKUP($B28,基础表!$C:$AP,COLUMN(基础表!R$1)-2,0)</f>
        <v>0.30769230769230765</v>
      </c>
      <c r="P28" s="22">
        <f>VLOOKUP($B28,基础表!$C:$AP,COLUMN(基础表!S$1)-2,0)</f>
        <v>9.7435897435897437E-2</v>
      </c>
      <c r="Q28" s="20">
        <f>VLOOKUP($B28,基础表!$C:$AP,COLUMN(基础表!T$1)-2,0)</f>
        <v>0.11538461538461538</v>
      </c>
      <c r="R28" s="20">
        <f>VLOOKUP($B28,基础表!$C:$AP,COLUMN(基础表!U$1)-2,0)</f>
        <v>8.9743589743589744E-2</v>
      </c>
      <c r="S28" s="20">
        <f>VLOOKUP($B28,基础表!$C:$AP,COLUMN(基础表!V$1)-2,0)</f>
        <v>8.461538461538462E-2</v>
      </c>
      <c r="T28" s="20">
        <f>VLOOKUP($B28,基础表!$C:$AP,COLUMN(基础表!W$1)-2,0)</f>
        <v>0.24102564102564103</v>
      </c>
      <c r="U28" s="20">
        <f>VLOOKUP($B28,基础表!$C:$AP,COLUMN(基础表!X$1)-2,0)</f>
        <v>6.4102564102564111E-2</v>
      </c>
      <c r="V28" s="21">
        <f>VLOOKUP($B28,基础表!$C:$AP,COLUMN(基础表!Y$1)-2,0)</f>
        <v>0</v>
      </c>
      <c r="W28" s="16">
        <f>VLOOKUP($B28,基础表!$C:$AP,COLUMN(基础表!Z$1)-2,0)</f>
        <v>0.12</v>
      </c>
      <c r="X28" s="17">
        <f>VLOOKUP($B28,基础表!$C:$AP,COLUMN(基础表!AA$1)-2,0)</f>
        <v>3.7999999999999999E-2</v>
      </c>
      <c r="Y28" s="17">
        <f>VLOOKUP($B28,基础表!$C:$AP,COLUMN(基础表!AB$1)-2,0)</f>
        <v>4.4999999999999998E-2</v>
      </c>
      <c r="Z28" s="17">
        <f>VLOOKUP($B28,基础表!$C:$AP,COLUMN(基础表!AC$1)-2,0)</f>
        <v>3.5000000000000003E-2</v>
      </c>
      <c r="AA28" s="17">
        <f>VLOOKUP($B28,基础表!$C:$AP,COLUMN(基础表!AD$1)-2,0)</f>
        <v>3.3000000000000002E-2</v>
      </c>
      <c r="AB28" s="17">
        <f>VLOOKUP($B28,基础表!$C:$AP,COLUMN(基础表!AE$1)-2,0)</f>
        <v>9.4E-2</v>
      </c>
      <c r="AC28" s="17">
        <f>VLOOKUP($B28,基础表!$C:$AP,COLUMN(基础表!AF$1)-2,0)</f>
        <v>2.5000000000000001E-2</v>
      </c>
      <c r="AD28" s="18">
        <f>VLOOKUP($B28,基础表!$C:$AP,COLUMN(基础表!AG$1)-2,0)</f>
        <v>0</v>
      </c>
      <c r="AE28" s="16">
        <f>VLOOKUP($B28,基础表!$C:$AP,COLUMN(基础表!AH$1)-2,0)</f>
        <v>1.1910000000000001</v>
      </c>
      <c r="AF28" s="95">
        <f>VLOOKUP($B28,基础表!$C:$AP,COLUMN(基础表!AI$1)-2,0)</f>
        <v>0.95899999999999996</v>
      </c>
      <c r="AG28" s="18">
        <f>VLOOKUP($B28,基础表!$C:$AP,COLUMN(基础表!AJ$1)-2,0)</f>
        <v>-0.2320000000000001</v>
      </c>
      <c r="AH28" s="22">
        <f>IF($C28="哈尔滨OT所","",VLOOKUP($B28,基础表!$C:$AZ,COLUMN(基础表!AQ$1)-2,0))</f>
        <v>0.38773388773388801</v>
      </c>
      <c r="AI28" s="20">
        <f>IF($C28="哈尔滨OT所","",VLOOKUP($B28,基础表!$C:$AZ,COLUMN(基础表!AR$1)-2,0))</f>
        <v>0.72881355932203407</v>
      </c>
      <c r="AJ28" s="21">
        <f>IF($C28="哈尔滨OT所","",VLOOKUP($B28,基础表!$C:$AZ,COLUMN(基础表!AS$1)-2,0))</f>
        <v>1</v>
      </c>
      <c r="AL28" s="8" t="b">
        <f t="shared" si="3"/>
        <v>1</v>
      </c>
      <c r="AM28" s="8" t="b">
        <f t="shared" si="2"/>
        <v>1</v>
      </c>
    </row>
    <row r="29" spans="2:39" x14ac:dyDescent="0.2">
      <c r="B29" s="14">
        <v>21</v>
      </c>
      <c r="C29" s="15" t="str">
        <f>VLOOKUP($B29,基础表!$C:$AP,COLUMN(基础表!F$1)-2,0)</f>
        <v>五常外埠所</v>
      </c>
      <c r="D29" s="16">
        <f>VLOOKUP($B29,基础表!$C:$AP,COLUMN(基础表!G$1)-2,0)</f>
        <v>1.472</v>
      </c>
      <c r="E29" s="17">
        <f>VLOOKUP($B29,基础表!$C:$AP,COLUMN(基础表!H$1)-2,0)</f>
        <v>2.7810000000000001</v>
      </c>
      <c r="F29" s="18">
        <f>VLOOKUP($B29,基础表!$C:$AP,COLUMN(基础表!I$1)-2,0)</f>
        <v>1.736</v>
      </c>
      <c r="G29" s="19">
        <f>VLOOKUP($B29,基础表!$C:$AP,COLUMN(基础表!J$1)-2,0)</f>
        <v>-0.1785714285714286</v>
      </c>
      <c r="H29" s="20">
        <f>VLOOKUP($B29,基础表!$C:$AP,COLUMN(基础表!K$1)-2,0)</f>
        <v>-0.13066583307283519</v>
      </c>
      <c r="I29" s="21">
        <f>VLOOKUP($B29,基础表!$C:$AP,COLUMN(基础表!L$1)-2,0)</f>
        <v>-0.33127889060092452</v>
      </c>
      <c r="J29" s="16">
        <f>VLOOKUP($B29,基础表!$C:$AP,COLUMN(基础表!M$1)-2,0)</f>
        <v>2.125</v>
      </c>
      <c r="K29" s="17">
        <f>VLOOKUP($B29,基础表!$C:$AP,COLUMN(基础表!N$1)-2,0)</f>
        <v>3.3330000000000002</v>
      </c>
      <c r="L29" s="20">
        <f>VLOOKUP($B29,基础表!$C:$AP,COLUMN(基础表!O$1)-2,0)</f>
        <v>-0.36243624362436244</v>
      </c>
      <c r="M29" s="17">
        <f>VLOOKUP($B29,基础表!$C:$AP,COLUMN(基础表!P$1)-2,0)</f>
        <v>3.847</v>
      </c>
      <c r="N29" s="21">
        <f>VLOOKUP($B29,基础表!$C:$AP,COLUMN(基础表!Q$1)-2,0)</f>
        <v>0.55237847673511797</v>
      </c>
      <c r="O29" s="21">
        <f>VLOOKUP($B29,基础表!$C:$AP,COLUMN(基础表!R$1)-2,0)</f>
        <v>0.20141176470588235</v>
      </c>
      <c r="P29" s="22">
        <f>VLOOKUP($B29,基础表!$C:$AP,COLUMN(基础表!S$1)-2,0)</f>
        <v>4.1411764705882349E-2</v>
      </c>
      <c r="Q29" s="20">
        <f>VLOOKUP($B29,基础表!$C:$AP,COLUMN(基础表!T$1)-2,0)</f>
        <v>0.17694117647058824</v>
      </c>
      <c r="R29" s="20">
        <f>VLOOKUP($B29,基础表!$C:$AP,COLUMN(基础表!U$1)-2,0)</f>
        <v>0.14682352941176471</v>
      </c>
      <c r="S29" s="20">
        <f>VLOOKUP($B29,基础表!$C:$AP,COLUMN(基础表!V$1)-2,0)</f>
        <v>9.4117647058823528E-2</v>
      </c>
      <c r="T29" s="20">
        <f>VLOOKUP($B29,基础表!$C:$AP,COLUMN(基础表!W$1)-2,0)</f>
        <v>0.15905882352941178</v>
      </c>
      <c r="U29" s="20">
        <f>VLOOKUP($B29,基础表!$C:$AP,COLUMN(基础表!X$1)-2,0)</f>
        <v>0.17270588235294118</v>
      </c>
      <c r="V29" s="21">
        <f>VLOOKUP($B29,基础表!$C:$AP,COLUMN(基础表!Y$1)-2,0)</f>
        <v>7.5294117647058826E-3</v>
      </c>
      <c r="W29" s="16">
        <f>VLOOKUP($B29,基础表!$C:$AP,COLUMN(基础表!Z$1)-2,0)</f>
        <v>0.42799999999999999</v>
      </c>
      <c r="X29" s="17">
        <f>VLOOKUP($B29,基础表!$C:$AP,COLUMN(基础表!AA$1)-2,0)</f>
        <v>8.7999999999999995E-2</v>
      </c>
      <c r="Y29" s="17">
        <f>VLOOKUP($B29,基础表!$C:$AP,COLUMN(基础表!AB$1)-2,0)</f>
        <v>0.376</v>
      </c>
      <c r="Z29" s="17">
        <f>VLOOKUP($B29,基础表!$C:$AP,COLUMN(基础表!AC$1)-2,0)</f>
        <v>0.312</v>
      </c>
      <c r="AA29" s="17">
        <f>VLOOKUP($B29,基础表!$C:$AP,COLUMN(基础表!AD$1)-2,0)</f>
        <v>0.2</v>
      </c>
      <c r="AB29" s="17">
        <f>VLOOKUP($B29,基础表!$C:$AP,COLUMN(基础表!AE$1)-2,0)</f>
        <v>0.33800000000000002</v>
      </c>
      <c r="AC29" s="17">
        <f>VLOOKUP($B29,基础表!$C:$AP,COLUMN(基础表!AF$1)-2,0)</f>
        <v>0.36699999999999999</v>
      </c>
      <c r="AD29" s="18">
        <f>VLOOKUP($B29,基础表!$C:$AP,COLUMN(基础表!AG$1)-2,0)</f>
        <v>1.6E-2</v>
      </c>
      <c r="AE29" s="16">
        <f>VLOOKUP($B29,基础表!$C:$AP,COLUMN(基础表!AH$1)-2,0)</f>
        <v>2.2639999999999998</v>
      </c>
      <c r="AF29" s="95">
        <f>VLOOKUP($B29,基础表!$C:$AP,COLUMN(基础表!AI$1)-2,0)</f>
        <v>1.5</v>
      </c>
      <c r="AG29" s="18">
        <f>VLOOKUP($B29,基础表!$C:$AP,COLUMN(基础表!AJ$1)-2,0)</f>
        <v>-0.76399999999999979</v>
      </c>
      <c r="AH29" s="22">
        <f>IF($C29="哈尔滨OT所","",VLOOKUP($B29,基础表!$C:$AZ,COLUMN(基础表!AQ$1)-2,0))</f>
        <v>0.47701411015020495</v>
      </c>
      <c r="AI29" s="20">
        <f>IF($C29="哈尔滨OT所","",VLOOKUP($B29,基础表!$C:$AZ,COLUMN(基础表!AR$1)-2,0))</f>
        <v>1</v>
      </c>
      <c r="AJ29" s="21">
        <f>IF($C29="哈尔滨OT所","",VLOOKUP($B29,基础表!$C:$AZ,COLUMN(基础表!AS$1)-2,0))</f>
        <v>1</v>
      </c>
      <c r="AL29" s="8" t="b">
        <f t="shared" si="3"/>
        <v>1</v>
      </c>
      <c r="AM29" s="8" t="b">
        <f t="shared" si="2"/>
        <v>1</v>
      </c>
    </row>
    <row r="30" spans="2:39" x14ac:dyDescent="0.2">
      <c r="B30" s="14">
        <v>22</v>
      </c>
      <c r="C30" s="15" t="str">
        <f>VLOOKUP($B30,基础表!$C:$AP,COLUMN(基础表!F$1)-2,0)</f>
        <v>大庆城区东所</v>
      </c>
      <c r="D30" s="16">
        <f>VLOOKUP($B30,基础表!$C:$AP,COLUMN(基础表!G$1)-2,0)</f>
        <v>0.622</v>
      </c>
      <c r="E30" s="17">
        <f>VLOOKUP($B30,基础表!$C:$AP,COLUMN(基础表!H$1)-2,0)</f>
        <v>1.2370000000000001</v>
      </c>
      <c r="F30" s="18">
        <f>VLOOKUP($B30,基础表!$C:$AP,COLUMN(基础表!I$1)-2,0)</f>
        <v>0.73099999999999998</v>
      </c>
      <c r="G30" s="19">
        <f>VLOOKUP($B30,基础表!$C:$AP,COLUMN(基础表!J$1)-2,0)</f>
        <v>-0.12640449438202239</v>
      </c>
      <c r="H30" s="20">
        <f>VLOOKUP($B30,基础表!$C:$AP,COLUMN(基础表!K$1)-2,0)</f>
        <v>1.8945634266886335E-2</v>
      </c>
      <c r="I30" s="21">
        <f>VLOOKUP($B30,基础表!$C:$AP,COLUMN(基础表!L$1)-2,0)</f>
        <v>0.23898305084745775</v>
      </c>
      <c r="J30" s="16">
        <f>VLOOKUP($B30,基础表!$C:$AP,COLUMN(基础表!M$1)-2,0)</f>
        <v>0.70699999999999996</v>
      </c>
      <c r="K30" s="17">
        <f>VLOOKUP($B30,基础表!$C:$AP,COLUMN(基础表!N$1)-2,0)</f>
        <v>1.3260000000000001</v>
      </c>
      <c r="L30" s="20">
        <f>VLOOKUP($B30,基础表!$C:$AP,COLUMN(基础表!O$1)-2,0)</f>
        <v>-0.46681749622926094</v>
      </c>
      <c r="M30" s="17">
        <f>VLOOKUP($B30,基础表!$C:$AP,COLUMN(基础表!P$1)-2,0)</f>
        <v>1.284</v>
      </c>
      <c r="N30" s="21">
        <f>VLOOKUP($B30,基础表!$C:$AP,COLUMN(基础表!Q$1)-2,0)</f>
        <v>0.55062305295950198</v>
      </c>
      <c r="O30" s="21">
        <f>VLOOKUP($B30,基础表!$C:$AP,COLUMN(基础表!R$1)-2,0)</f>
        <v>9.0523338048090526E-2</v>
      </c>
      <c r="P30" s="22">
        <f>VLOOKUP($B30,基础表!$C:$AP,COLUMN(基础表!S$1)-2,0)</f>
        <v>0.1471004243281471</v>
      </c>
      <c r="Q30" s="20">
        <f>VLOOKUP($B30,基础表!$C:$AP,COLUMN(基础表!T$1)-2,0)</f>
        <v>0.21357850070721357</v>
      </c>
      <c r="R30" s="20">
        <f>VLOOKUP($B30,基础表!$C:$AP,COLUMN(基础表!U$1)-2,0)</f>
        <v>0.12729844413012731</v>
      </c>
      <c r="S30" s="20">
        <f>VLOOKUP($B30,基础表!$C:$AP,COLUMN(基础表!V$1)-2,0)</f>
        <v>0.17538896746817539</v>
      </c>
      <c r="T30" s="20">
        <f>VLOOKUP($B30,基础表!$C:$AP,COLUMN(基础表!W$1)-2,0)</f>
        <v>0.12305516265912306</v>
      </c>
      <c r="U30" s="20">
        <f>VLOOKUP($B30,基础表!$C:$AP,COLUMN(基础表!X$1)-2,0)</f>
        <v>0.12305516265912306</v>
      </c>
      <c r="V30" s="21">
        <f>VLOOKUP($B30,基础表!$C:$AP,COLUMN(基础表!Y$1)-2,0)</f>
        <v>0</v>
      </c>
      <c r="W30" s="16">
        <f>VLOOKUP($B30,基础表!$C:$AP,COLUMN(基础表!Z$1)-2,0)</f>
        <v>6.4000000000000001E-2</v>
      </c>
      <c r="X30" s="17">
        <f>VLOOKUP($B30,基础表!$C:$AP,COLUMN(基础表!AA$1)-2,0)</f>
        <v>0.104</v>
      </c>
      <c r="Y30" s="17">
        <f>VLOOKUP($B30,基础表!$C:$AP,COLUMN(基础表!AB$1)-2,0)</f>
        <v>0.151</v>
      </c>
      <c r="Z30" s="17">
        <f>VLOOKUP($B30,基础表!$C:$AP,COLUMN(基础表!AC$1)-2,0)</f>
        <v>0.09</v>
      </c>
      <c r="AA30" s="17">
        <f>VLOOKUP($B30,基础表!$C:$AP,COLUMN(基础表!AD$1)-2,0)</f>
        <v>0.124</v>
      </c>
      <c r="AB30" s="17">
        <f>VLOOKUP($B30,基础表!$C:$AP,COLUMN(基础表!AE$1)-2,0)</f>
        <v>8.6999999999999994E-2</v>
      </c>
      <c r="AC30" s="17">
        <f>VLOOKUP($B30,基础表!$C:$AP,COLUMN(基础表!AF$1)-2,0)</f>
        <v>8.6999999999999994E-2</v>
      </c>
      <c r="AD30" s="18">
        <f>VLOOKUP($B30,基础表!$C:$AP,COLUMN(基础表!AG$1)-2,0)</f>
        <v>0</v>
      </c>
      <c r="AE30" s="16">
        <f>VLOOKUP($B30,基础表!$C:$AP,COLUMN(基础表!AH$1)-2,0)</f>
        <v>0.45</v>
      </c>
      <c r="AF30" s="95">
        <f>VLOOKUP($B30,基础表!$C:$AP,COLUMN(基础表!AI$1)-2,0)</f>
        <v>0.42599999999999999</v>
      </c>
      <c r="AG30" s="18">
        <f>VLOOKUP($B30,基础表!$C:$AP,COLUMN(基础表!AJ$1)-2,0)</f>
        <v>-2.4000000000000021E-2</v>
      </c>
      <c r="AH30" s="22">
        <f>IF($C30="哈尔滨OT所","",VLOOKUP($B30,基础表!$C:$AZ,COLUMN(基础表!AQ$1)-2,0))</f>
        <v>0.78856382978723405</v>
      </c>
      <c r="AI30" s="20">
        <f>IF($C30="哈尔滨OT所","",VLOOKUP($B30,基础表!$C:$AZ,COLUMN(基础表!AR$1)-2,0))</f>
        <v>0.939393939393939</v>
      </c>
      <c r="AJ30" s="21">
        <f>IF($C30="哈尔滨OT所","",VLOOKUP($B30,基础表!$C:$AZ,COLUMN(基础表!AS$1)-2,0))</f>
        <v>1</v>
      </c>
      <c r="AL30" s="8" t="b">
        <f t="shared" si="3"/>
        <v>1</v>
      </c>
      <c r="AM30" s="8" t="b">
        <f t="shared" si="2"/>
        <v>1</v>
      </c>
    </row>
    <row r="31" spans="2:39" x14ac:dyDescent="0.2">
      <c r="B31" s="14">
        <v>23</v>
      </c>
      <c r="C31" s="15" t="str">
        <f>VLOOKUP($B31,基础表!$C:$AP,COLUMN(基础表!F$1)-2,0)</f>
        <v>绥化外埠所</v>
      </c>
      <c r="D31" s="16">
        <f>VLOOKUP($B31,基础表!$C:$AP,COLUMN(基础表!G$1)-2,0)</f>
        <v>1.0820000000000001</v>
      </c>
      <c r="E31" s="17">
        <f>VLOOKUP($B31,基础表!$C:$AP,COLUMN(基础表!H$1)-2,0)</f>
        <v>2.234</v>
      </c>
      <c r="F31" s="18">
        <f>VLOOKUP($B31,基础表!$C:$AP,COLUMN(基础表!I$1)-2,0)</f>
        <v>1.452</v>
      </c>
      <c r="G31" s="19">
        <f>VLOOKUP($B31,基础表!$C:$AP,COLUMN(基础表!J$1)-2,0)</f>
        <v>-5.5021834061135366E-2</v>
      </c>
      <c r="H31" s="20">
        <f>VLOOKUP($B31,基础表!$C:$AP,COLUMN(基础表!K$1)-2,0)</f>
        <v>7.6626506024096264E-2</v>
      </c>
      <c r="I31" s="21">
        <f>VLOOKUP($B31,基础表!$C:$AP,COLUMN(基础表!L$1)-2,0)</f>
        <v>-0.12106537530266337</v>
      </c>
      <c r="J31" s="16">
        <f>VLOOKUP($B31,基础表!$C:$AP,COLUMN(基础表!M$1)-2,0)</f>
        <v>1.262</v>
      </c>
      <c r="K31" s="17">
        <f>VLOOKUP($B31,基础表!$C:$AP,COLUMN(基础表!N$1)-2,0)</f>
        <v>2.1640000000000001</v>
      </c>
      <c r="L31" s="20">
        <f>VLOOKUP($B31,基础表!$C:$AP,COLUMN(基础表!O$1)-2,0)</f>
        <v>-0.41682070240295754</v>
      </c>
      <c r="M31" s="17">
        <f>VLOOKUP($B31,基础表!$C:$AP,COLUMN(基础表!P$1)-2,0)</f>
        <v>2.298</v>
      </c>
      <c r="N31" s="21">
        <f>VLOOKUP($B31,基础表!$C:$AP,COLUMN(基础表!Q$1)-2,0)</f>
        <v>0.54917319408180998</v>
      </c>
      <c r="O31" s="21">
        <f>VLOOKUP($B31,基础表!$C:$AP,COLUMN(基础表!R$1)-2,0)</f>
        <v>0.12282091917591124</v>
      </c>
      <c r="P31" s="22">
        <f>VLOOKUP($B31,基础表!$C:$AP,COLUMN(基础表!S$1)-2,0)</f>
        <v>0.1347068145800317</v>
      </c>
      <c r="Q31" s="20">
        <f>VLOOKUP($B31,基础表!$C:$AP,COLUMN(基础表!T$1)-2,0)</f>
        <v>0.19413629160063392</v>
      </c>
      <c r="R31" s="20">
        <f>VLOOKUP($B31,基础表!$C:$AP,COLUMN(基础表!U$1)-2,0)</f>
        <v>0.14025356576862122</v>
      </c>
      <c r="S31" s="20">
        <f>VLOOKUP($B31,基础表!$C:$AP,COLUMN(基础表!V$1)-2,0)</f>
        <v>0.1347068145800317</v>
      </c>
      <c r="T31" s="20">
        <f>VLOOKUP($B31,基础表!$C:$AP,COLUMN(基础表!W$1)-2,0)</f>
        <v>0.16244057052297939</v>
      </c>
      <c r="U31" s="20">
        <f>VLOOKUP($B31,基础表!$C:$AP,COLUMN(基础表!X$1)-2,0)</f>
        <v>0.11093502377179082</v>
      </c>
      <c r="V31" s="21">
        <f>VLOOKUP($B31,基础表!$C:$AP,COLUMN(基础表!Y$1)-2,0)</f>
        <v>0</v>
      </c>
      <c r="W31" s="16">
        <f>VLOOKUP($B31,基础表!$C:$AP,COLUMN(基础表!Z$1)-2,0)</f>
        <v>0.155</v>
      </c>
      <c r="X31" s="17">
        <f>VLOOKUP($B31,基础表!$C:$AP,COLUMN(基础表!AA$1)-2,0)</f>
        <v>0.17</v>
      </c>
      <c r="Y31" s="17">
        <f>VLOOKUP($B31,基础表!$C:$AP,COLUMN(基础表!AB$1)-2,0)</f>
        <v>0.245</v>
      </c>
      <c r="Z31" s="17">
        <f>VLOOKUP($B31,基础表!$C:$AP,COLUMN(基础表!AC$1)-2,0)</f>
        <v>0.17699999999999999</v>
      </c>
      <c r="AA31" s="17">
        <f>VLOOKUP($B31,基础表!$C:$AP,COLUMN(基础表!AD$1)-2,0)</f>
        <v>0.17</v>
      </c>
      <c r="AB31" s="17">
        <f>VLOOKUP($B31,基础表!$C:$AP,COLUMN(基础表!AE$1)-2,0)</f>
        <v>0.20499999999999999</v>
      </c>
      <c r="AC31" s="17">
        <f>VLOOKUP($B31,基础表!$C:$AP,COLUMN(基础表!AF$1)-2,0)</f>
        <v>0.14000000000000001</v>
      </c>
      <c r="AD31" s="18">
        <f>VLOOKUP($B31,基础表!$C:$AP,COLUMN(基础表!AG$1)-2,0)</f>
        <v>0</v>
      </c>
      <c r="AE31" s="16">
        <f>VLOOKUP($B31,基础表!$C:$AP,COLUMN(基础表!AH$1)-2,0)</f>
        <v>1.7609999999999999</v>
      </c>
      <c r="AF31" s="95">
        <f>VLOOKUP($B31,基础表!$C:$AP,COLUMN(基础表!AI$1)-2,0)</f>
        <v>1.7190000000000001</v>
      </c>
      <c r="AG31" s="18">
        <f>VLOOKUP($B31,基础表!$C:$AP,COLUMN(基础表!AJ$1)-2,0)</f>
        <v>-4.1999999999999815E-2</v>
      </c>
      <c r="AH31" s="22">
        <f>IF($C31="哈尔滨OT所","",VLOOKUP($B31,基础表!$C:$AZ,COLUMN(基础表!AQ$1)-2,0))</f>
        <v>0.78830874006810403</v>
      </c>
      <c r="AI31" s="20">
        <f>IF($C31="哈尔滨OT所","",VLOOKUP($B31,基础表!$C:$AZ,COLUMN(基础表!AR$1)-2,0))</f>
        <v>0.95</v>
      </c>
      <c r="AJ31" s="21">
        <f>IF($C31="哈尔滨OT所","",VLOOKUP($B31,基础表!$C:$AZ,COLUMN(基础表!AS$1)-2,0))</f>
        <v>1</v>
      </c>
      <c r="AL31" s="8" t="b">
        <f t="shared" si="3"/>
        <v>1</v>
      </c>
      <c r="AM31" s="8" t="b">
        <f t="shared" si="2"/>
        <v>1</v>
      </c>
    </row>
    <row r="32" spans="2:39" x14ac:dyDescent="0.2">
      <c r="B32" s="14">
        <v>24</v>
      </c>
      <c r="C32" s="15" t="str">
        <f>VLOOKUP($B32,基础表!$C:$AP,COLUMN(基础表!F$1)-2,0)</f>
        <v>鹤岗城区所</v>
      </c>
      <c r="D32" s="16">
        <f>VLOOKUP($B32,基础表!$C:$AP,COLUMN(基础表!G$1)-2,0)</f>
        <v>0.24</v>
      </c>
      <c r="E32" s="17">
        <f>VLOOKUP($B32,基础表!$C:$AP,COLUMN(基础表!H$1)-2,0)</f>
        <v>0.64500000000000002</v>
      </c>
      <c r="F32" s="18">
        <f>VLOOKUP($B32,基础表!$C:$AP,COLUMN(基础表!I$1)-2,0)</f>
        <v>0.38800000000000001</v>
      </c>
      <c r="G32" s="19">
        <f>VLOOKUP($B32,基础表!$C:$AP,COLUMN(基础表!J$1)-2,0)</f>
        <v>-0.323943661971831</v>
      </c>
      <c r="H32" s="20">
        <f>VLOOKUP($B32,基础表!$C:$AP,COLUMN(基础表!K$1)-2,0)</f>
        <v>-0.30420711974110037</v>
      </c>
      <c r="I32" s="21">
        <f>VLOOKUP($B32,基础表!$C:$AP,COLUMN(基础表!L$1)-2,0)</f>
        <v>-3.7220843672456594E-2</v>
      </c>
      <c r="J32" s="16">
        <f>VLOOKUP($B32,基础表!$C:$AP,COLUMN(基础表!M$1)-2,0)</f>
        <v>0.22700000000000001</v>
      </c>
      <c r="K32" s="17">
        <f>VLOOKUP($B32,基础表!$C:$AP,COLUMN(基础表!N$1)-2,0)</f>
        <v>0.501</v>
      </c>
      <c r="L32" s="20">
        <f>VLOOKUP($B32,基础表!$C:$AP,COLUMN(基础表!O$1)-2,0)</f>
        <v>-0.54690618762475052</v>
      </c>
      <c r="M32" s="17">
        <f>VLOOKUP($B32,基础表!$C:$AP,COLUMN(基础表!P$1)-2,0)</f>
        <v>0.496</v>
      </c>
      <c r="N32" s="21">
        <f>VLOOKUP($B32,基础表!$C:$AP,COLUMN(基础表!Q$1)-2,0)</f>
        <v>0.45766129032258102</v>
      </c>
      <c r="O32" s="21">
        <f>VLOOKUP($B32,基础表!$C:$AP,COLUMN(基础表!R$1)-2,0)</f>
        <v>0.26431718061674009</v>
      </c>
      <c r="P32" s="22">
        <f>VLOOKUP($B32,基础表!$C:$AP,COLUMN(基础表!S$1)-2,0)</f>
        <v>9.2511013215859028E-2</v>
      </c>
      <c r="Q32" s="20">
        <f>VLOOKUP($B32,基础表!$C:$AP,COLUMN(基础表!T$1)-2,0)</f>
        <v>5.7268722466960346E-2</v>
      </c>
      <c r="R32" s="20">
        <f>VLOOKUP($B32,基础表!$C:$AP,COLUMN(基础表!U$1)-2,0)</f>
        <v>6.6079295154185022E-2</v>
      </c>
      <c r="S32" s="20">
        <f>VLOOKUP($B32,基础表!$C:$AP,COLUMN(基础表!V$1)-2,0)</f>
        <v>9.2511013215859028E-2</v>
      </c>
      <c r="T32" s="20">
        <f>VLOOKUP($B32,基础表!$C:$AP,COLUMN(基础表!W$1)-2,0)</f>
        <v>0.33039647577092507</v>
      </c>
      <c r="U32" s="20">
        <f>VLOOKUP($B32,基础表!$C:$AP,COLUMN(基础表!X$1)-2,0)</f>
        <v>9.6916299559471356E-2</v>
      </c>
      <c r="V32" s="21">
        <f>VLOOKUP($B32,基础表!$C:$AP,COLUMN(基础表!Y$1)-2,0)</f>
        <v>0</v>
      </c>
      <c r="W32" s="16">
        <f>VLOOKUP($B32,基础表!$C:$AP,COLUMN(基础表!Z$1)-2,0)</f>
        <v>0.06</v>
      </c>
      <c r="X32" s="17">
        <f>VLOOKUP($B32,基础表!$C:$AP,COLUMN(基础表!AA$1)-2,0)</f>
        <v>2.1000000000000001E-2</v>
      </c>
      <c r="Y32" s="17">
        <f>VLOOKUP($B32,基础表!$C:$AP,COLUMN(基础表!AB$1)-2,0)</f>
        <v>1.2999999999999999E-2</v>
      </c>
      <c r="Z32" s="17">
        <f>VLOOKUP($B32,基础表!$C:$AP,COLUMN(基础表!AC$1)-2,0)</f>
        <v>1.4999999999999999E-2</v>
      </c>
      <c r="AA32" s="17">
        <f>VLOOKUP($B32,基础表!$C:$AP,COLUMN(基础表!AD$1)-2,0)</f>
        <v>2.1000000000000001E-2</v>
      </c>
      <c r="AB32" s="17">
        <f>VLOOKUP($B32,基础表!$C:$AP,COLUMN(基础表!AE$1)-2,0)</f>
        <v>7.4999999999999997E-2</v>
      </c>
      <c r="AC32" s="17">
        <f>VLOOKUP($B32,基础表!$C:$AP,COLUMN(基础表!AF$1)-2,0)</f>
        <v>2.1999999999999999E-2</v>
      </c>
      <c r="AD32" s="18">
        <f>VLOOKUP($B32,基础表!$C:$AP,COLUMN(基础表!AG$1)-2,0)</f>
        <v>0</v>
      </c>
      <c r="AE32" s="16">
        <f>VLOOKUP($B32,基础表!$C:$AP,COLUMN(基础表!AH$1)-2,0)</f>
        <v>0.45300000000000001</v>
      </c>
      <c r="AF32" s="95">
        <f>VLOOKUP($B32,基础表!$C:$AP,COLUMN(基础表!AI$1)-2,0)</f>
        <v>0.497</v>
      </c>
      <c r="AG32" s="18">
        <f>VLOOKUP($B32,基础表!$C:$AP,COLUMN(基础表!AJ$1)-2,0)</f>
        <v>4.3999999999999984E-2</v>
      </c>
      <c r="AH32" s="22">
        <f>IF($C32="哈尔滨OT所","",VLOOKUP($B32,基础表!$C:$AZ,COLUMN(基础表!AQ$1)-2,0))</f>
        <v>0.59811616954474101</v>
      </c>
      <c r="AI32" s="20">
        <f>IF($C32="哈尔滨OT所","",VLOOKUP($B32,基础表!$C:$AZ,COLUMN(基础表!AR$1)-2,0))</f>
        <v>0.95</v>
      </c>
      <c r="AJ32" s="21">
        <f>IF($C32="哈尔滨OT所","",VLOOKUP($B32,基础表!$C:$AZ,COLUMN(基础表!AS$1)-2,0))</f>
        <v>0.95</v>
      </c>
      <c r="AL32" s="8" t="b">
        <f t="shared" ref="AL32" si="4">1=SUM(O32:V32)</f>
        <v>1</v>
      </c>
      <c r="AM32" s="8" t="b">
        <f t="shared" si="2"/>
        <v>1</v>
      </c>
    </row>
    <row r="33" spans="2:39" x14ac:dyDescent="0.2">
      <c r="B33" s="14">
        <v>25</v>
      </c>
      <c r="C33" s="15" t="str">
        <f>VLOOKUP($B33,基础表!$C:$AP,COLUMN(基础表!F$1)-2,0)</f>
        <v>宾县外埠所</v>
      </c>
      <c r="D33" s="16">
        <f>VLOOKUP($B33,基础表!$C:$AP,COLUMN(基础表!G$1)-2,0)</f>
        <v>0.86299999999999999</v>
      </c>
      <c r="E33" s="17">
        <f>VLOOKUP($B33,基础表!$C:$AP,COLUMN(基础表!H$1)-2,0)</f>
        <v>2.3090000000000002</v>
      </c>
      <c r="F33" s="18">
        <f>VLOOKUP($B33,基础表!$C:$AP,COLUMN(基础表!I$1)-2,0)</f>
        <v>1.59</v>
      </c>
      <c r="G33" s="19">
        <f>VLOOKUP($B33,基础表!$C:$AP,COLUMN(基础表!J$1)-2,0)</f>
        <v>-0.49825581395348839</v>
      </c>
      <c r="H33" s="20">
        <f>VLOOKUP($B33,基础表!$C:$AP,COLUMN(基础表!K$1)-2,0)</f>
        <v>-0.18004261363636354</v>
      </c>
      <c r="I33" s="21">
        <f>VLOOKUP($B33,基础表!$C:$AP,COLUMN(基础表!L$1)-2,0)</f>
        <v>-0.16753926701570676</v>
      </c>
      <c r="J33" s="16">
        <f>VLOOKUP($B33,基础表!$C:$AP,COLUMN(基础表!M$1)-2,0)</f>
        <v>1.3320000000000001</v>
      </c>
      <c r="K33" s="17">
        <f>VLOOKUP($B33,基础表!$C:$AP,COLUMN(基础表!N$1)-2,0)</f>
        <v>2.9169999999999998</v>
      </c>
      <c r="L33" s="20">
        <f>VLOOKUP($B33,基础表!$C:$AP,COLUMN(基础表!O$1)-2,0)</f>
        <v>-0.54336647240315394</v>
      </c>
      <c r="M33" s="17">
        <f>VLOOKUP($B33,基础表!$C:$AP,COLUMN(基础表!P$1)-2,0)</f>
        <v>3.2709999999999999</v>
      </c>
      <c r="N33" s="21">
        <f>VLOOKUP($B33,基础表!$C:$AP,COLUMN(基础表!Q$1)-2,0)</f>
        <v>0.40721491898502005</v>
      </c>
      <c r="O33" s="21">
        <f>VLOOKUP($B33,基础表!$C:$AP,COLUMN(基础表!R$1)-2,0)</f>
        <v>0.12012012012012012</v>
      </c>
      <c r="P33" s="22">
        <f>VLOOKUP($B33,基础表!$C:$AP,COLUMN(基础表!S$1)-2,0)</f>
        <v>0.14264264264264265</v>
      </c>
      <c r="Q33" s="20">
        <f>VLOOKUP($B33,基础表!$C:$AP,COLUMN(基础表!T$1)-2,0)</f>
        <v>0.20645645645645647</v>
      </c>
      <c r="R33" s="20">
        <f>VLOOKUP($B33,基础表!$C:$AP,COLUMN(基础表!U$1)-2,0)</f>
        <v>0.1463963963963964</v>
      </c>
      <c r="S33" s="20">
        <f>VLOOKUP($B33,基础表!$C:$AP,COLUMN(基础表!V$1)-2,0)</f>
        <v>0.18618618618618618</v>
      </c>
      <c r="T33" s="20">
        <f>VLOOKUP($B33,基础表!$C:$AP,COLUMN(基础表!W$1)-2,0)</f>
        <v>0.11186186186186185</v>
      </c>
      <c r="U33" s="20">
        <f>VLOOKUP($B33,基础表!$C:$AP,COLUMN(基础表!X$1)-2,0)</f>
        <v>8.6336336336336333E-2</v>
      </c>
      <c r="V33" s="21">
        <f>VLOOKUP($B33,基础表!$C:$AP,COLUMN(基础表!Y$1)-2,0)</f>
        <v>0</v>
      </c>
      <c r="W33" s="16">
        <f>VLOOKUP($B33,基础表!$C:$AP,COLUMN(基础表!Z$1)-2,0)</f>
        <v>0.16</v>
      </c>
      <c r="X33" s="17">
        <f>VLOOKUP($B33,基础表!$C:$AP,COLUMN(基础表!AA$1)-2,0)</f>
        <v>0.19</v>
      </c>
      <c r="Y33" s="17">
        <f>VLOOKUP($B33,基础表!$C:$AP,COLUMN(基础表!AB$1)-2,0)</f>
        <v>0.27500000000000002</v>
      </c>
      <c r="Z33" s="17">
        <f>VLOOKUP($B33,基础表!$C:$AP,COLUMN(基础表!AC$1)-2,0)</f>
        <v>0.19500000000000001</v>
      </c>
      <c r="AA33" s="17">
        <f>VLOOKUP($B33,基础表!$C:$AP,COLUMN(基础表!AD$1)-2,0)</f>
        <v>0.248</v>
      </c>
      <c r="AB33" s="17">
        <f>VLOOKUP($B33,基础表!$C:$AP,COLUMN(基础表!AE$1)-2,0)</f>
        <v>0.14899999999999999</v>
      </c>
      <c r="AC33" s="17">
        <f>VLOOKUP($B33,基础表!$C:$AP,COLUMN(基础表!AF$1)-2,0)</f>
        <v>0.115</v>
      </c>
      <c r="AD33" s="18">
        <f>VLOOKUP($B33,基础表!$C:$AP,COLUMN(基础表!AG$1)-2,0)</f>
        <v>0</v>
      </c>
      <c r="AE33" s="16">
        <f>VLOOKUP($B33,基础表!$C:$AP,COLUMN(基础表!AH$1)-2,0)</f>
        <v>2.286</v>
      </c>
      <c r="AF33" s="95">
        <f>VLOOKUP($B33,基础表!$C:$AP,COLUMN(基础表!AI$1)-2,0)</f>
        <v>1.482</v>
      </c>
      <c r="AG33" s="18">
        <f>VLOOKUP($B33,基础表!$C:$AP,COLUMN(基础表!AJ$1)-2,0)</f>
        <v>-0.80400000000000005</v>
      </c>
      <c r="AH33" s="22">
        <f>IF($C33="哈尔滨OT所","",VLOOKUP($B33,基础表!$C:$AZ,COLUMN(基础表!AQ$1)-2,0))</f>
        <v>0.78303850156087407</v>
      </c>
      <c r="AI33" s="20">
        <f>IF($C33="哈尔滨OT所","",VLOOKUP($B33,基础表!$C:$AZ,COLUMN(基础表!AR$1)-2,0))</f>
        <v>0.92857142857142905</v>
      </c>
      <c r="AJ33" s="21">
        <f>IF($C33="哈尔滨OT所","",VLOOKUP($B33,基础表!$C:$AZ,COLUMN(基础表!AS$1)-2,0))</f>
        <v>0.97619047619047605</v>
      </c>
      <c r="AL33" s="8" t="b">
        <f t="shared" si="3"/>
        <v>1</v>
      </c>
      <c r="AM33" s="8" t="b">
        <f t="shared" si="2"/>
        <v>1</v>
      </c>
    </row>
    <row r="34" spans="2:39" x14ac:dyDescent="0.2">
      <c r="B34" s="23">
        <v>26</v>
      </c>
      <c r="C34" s="24" t="str">
        <f>VLOOKUP($B34,基础表!$C:$AP,COLUMN(基础表!F$1)-2,0)</f>
        <v>大庆城区西所</v>
      </c>
      <c r="D34" s="25">
        <f>VLOOKUP($B34,基础表!$C:$AP,COLUMN(基础表!G$1)-2,0)</f>
        <v>0.307</v>
      </c>
      <c r="E34" s="26">
        <f>VLOOKUP($B34,基础表!$C:$AP,COLUMN(基础表!H$1)-2,0)</f>
        <v>0.63</v>
      </c>
      <c r="F34" s="27">
        <f>VLOOKUP($B34,基础表!$C:$AP,COLUMN(基础表!I$1)-2,0)</f>
        <v>0.54600000000000004</v>
      </c>
      <c r="G34" s="28">
        <f>VLOOKUP($B34,基础表!$C:$AP,COLUMN(基础表!J$1)-2,0)</f>
        <v>-5.8282208588957052E-2</v>
      </c>
      <c r="H34" s="29">
        <f>VLOOKUP($B34,基础表!$C:$AP,COLUMN(基础表!K$1)-2,0)</f>
        <v>3.4482758620689724E-2</v>
      </c>
      <c r="I34" s="30">
        <f>VLOOKUP($B34,基础表!$C:$AP,COLUMN(基础表!L$1)-2,0)</f>
        <v>5.4054054054054168E-2</v>
      </c>
      <c r="J34" s="25">
        <f>VLOOKUP($B34,基础表!$C:$AP,COLUMN(基础表!M$1)-2,0)</f>
        <v>0.29399999999999998</v>
      </c>
      <c r="K34" s="26">
        <f>VLOOKUP($B34,基础表!$C:$AP,COLUMN(基础表!N$1)-2,0)</f>
        <v>0.50900000000000001</v>
      </c>
      <c r="L34" s="29">
        <f>VLOOKUP($B34,基础表!$C:$AP,COLUMN(基础表!O$1)-2,0)</f>
        <v>-0.42239685658153248</v>
      </c>
      <c r="M34" s="26">
        <f>VLOOKUP($B34,基础表!$C:$AP,COLUMN(基础表!P$1)-2,0)</f>
        <v>0.75600000000000001</v>
      </c>
      <c r="N34" s="30">
        <f>VLOOKUP($B34,基础表!$C:$AP,COLUMN(基础表!Q$1)-2,0)</f>
        <v>0.38888888888888901</v>
      </c>
      <c r="O34" s="30">
        <f>VLOOKUP($B34,基础表!$C:$AP,COLUMN(基础表!R$1)-2,0)</f>
        <v>0.2142857142857143</v>
      </c>
      <c r="P34" s="31">
        <f>VLOOKUP($B34,基础表!$C:$AP,COLUMN(基础表!S$1)-2,0)</f>
        <v>7.1428571428571438E-2</v>
      </c>
      <c r="Q34" s="29">
        <f>VLOOKUP($B34,基础表!$C:$AP,COLUMN(基础表!T$1)-2,0)</f>
        <v>0.19047619047619049</v>
      </c>
      <c r="R34" s="29">
        <f>VLOOKUP($B34,基础表!$C:$AP,COLUMN(基础表!U$1)-2,0)</f>
        <v>0.17006802721088438</v>
      </c>
      <c r="S34" s="29">
        <f>VLOOKUP($B34,基础表!$C:$AP,COLUMN(基础表!V$1)-2,0)</f>
        <v>8.5034013605442188E-2</v>
      </c>
      <c r="T34" s="29">
        <f>VLOOKUP($B34,基础表!$C:$AP,COLUMN(基础表!W$1)-2,0)</f>
        <v>6.1224489795918366E-2</v>
      </c>
      <c r="U34" s="29">
        <f>VLOOKUP($B34,基础表!$C:$AP,COLUMN(基础表!X$1)-2,0)</f>
        <v>0.20748299319727892</v>
      </c>
      <c r="V34" s="30">
        <f>VLOOKUP($B34,基础表!$C:$AP,COLUMN(基础表!Y$1)-2,0)</f>
        <v>0</v>
      </c>
      <c r="W34" s="25">
        <f>VLOOKUP($B34,基础表!$C:$AP,COLUMN(基础表!Z$1)-2,0)</f>
        <v>6.3E-2</v>
      </c>
      <c r="X34" s="26">
        <f>VLOOKUP($B34,基础表!$C:$AP,COLUMN(基础表!AA$1)-2,0)</f>
        <v>2.1000000000000001E-2</v>
      </c>
      <c r="Y34" s="26">
        <f>VLOOKUP($B34,基础表!$C:$AP,COLUMN(基础表!AB$1)-2,0)</f>
        <v>5.6000000000000001E-2</v>
      </c>
      <c r="Z34" s="26">
        <f>VLOOKUP($B34,基础表!$C:$AP,COLUMN(基础表!AC$1)-2,0)</f>
        <v>0.05</v>
      </c>
      <c r="AA34" s="26">
        <f>VLOOKUP($B34,基础表!$C:$AP,COLUMN(基础表!AD$1)-2,0)</f>
        <v>2.5000000000000001E-2</v>
      </c>
      <c r="AB34" s="26">
        <f>VLOOKUP($B34,基础表!$C:$AP,COLUMN(基础表!AE$1)-2,0)</f>
        <v>1.7999999999999999E-2</v>
      </c>
      <c r="AC34" s="26">
        <f>VLOOKUP($B34,基础表!$C:$AP,COLUMN(基础表!AF$1)-2,0)</f>
        <v>6.0999999999999999E-2</v>
      </c>
      <c r="AD34" s="27">
        <f>VLOOKUP($B34,基础表!$C:$AP,COLUMN(基础表!AG$1)-2,0)</f>
        <v>0</v>
      </c>
      <c r="AE34" s="25">
        <f>VLOOKUP($B34,基础表!$C:$AP,COLUMN(基础表!AH$1)-2,0)</f>
        <v>0.42099999999999999</v>
      </c>
      <c r="AF34" s="96">
        <f>VLOOKUP($B34,基础表!$C:$AP,COLUMN(基础表!AI$1)-2,0)</f>
        <v>0.39100000000000001</v>
      </c>
      <c r="AG34" s="27">
        <f>VLOOKUP($B34,基础表!$C:$AP,COLUMN(基础表!AJ$1)-2,0)</f>
        <v>-2.9999999999999971E-2</v>
      </c>
      <c r="AH34" s="31">
        <f>IF($C34="哈尔滨OT所","",VLOOKUP($B34,基础表!$C:$AZ,COLUMN(基础表!AQ$1)-2,0))</f>
        <v>0.79582712369597597</v>
      </c>
      <c r="AI34" s="29">
        <f>IF($C34="哈尔滨OT所","",VLOOKUP($B34,基础表!$C:$AZ,COLUMN(基础表!AR$1)-2,0))</f>
        <v>0.91666666666666696</v>
      </c>
      <c r="AJ34" s="30">
        <f>IF($C34="哈尔滨OT所","",VLOOKUP($B34,基础表!$C:$AZ,COLUMN(基础表!AS$1)-2,0))</f>
        <v>1</v>
      </c>
      <c r="AL34" s="8" t="b">
        <f t="shared" si="3"/>
        <v>1</v>
      </c>
      <c r="AM34" s="8" t="b">
        <f t="shared" si="2"/>
        <v>1</v>
      </c>
    </row>
  </sheetData>
  <mergeCells count="12">
    <mergeCell ref="AL2:AM2"/>
    <mergeCell ref="B4:C4"/>
    <mergeCell ref="D2:F2"/>
    <mergeCell ref="G2:I2"/>
    <mergeCell ref="J2:N2"/>
    <mergeCell ref="B2:B3"/>
    <mergeCell ref="C2:C3"/>
    <mergeCell ref="AE2:AG2"/>
    <mergeCell ref="W2:AD2"/>
    <mergeCell ref="AH2:AH3"/>
    <mergeCell ref="AI2:AJ2"/>
    <mergeCell ref="O2:V2"/>
  </mergeCells>
  <phoneticPr fontId="19" type="noConversion"/>
  <conditionalFormatting sqref="G4:I31 L4:L8 G33:I34">
    <cfRule type="cellIs" dxfId="6" priority="10" operator="lessThan">
      <formula>0</formula>
    </cfRule>
  </conditionalFormatting>
  <conditionalFormatting sqref="AI5:AJ31 AI33:AJ34">
    <cfRule type="cellIs" dxfId="5" priority="9" operator="lessThan">
      <formula>0.3</formula>
    </cfRule>
  </conditionalFormatting>
  <conditionalFormatting sqref="L9:L31 L33:L34">
    <cfRule type="cellIs" dxfId="4" priority="7" operator="lessThan">
      <formula>0</formula>
    </cfRule>
  </conditionalFormatting>
  <conditionalFormatting sqref="N9:N31 N33:N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8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I32">
    <cfRule type="cellIs" dxfId="3" priority="4" operator="lessThan">
      <formula>0</formula>
    </cfRule>
  </conditionalFormatting>
  <conditionalFormatting sqref="AI32:AJ32">
    <cfRule type="cellIs" dxfId="2" priority="3" operator="lessThan">
      <formula>0.3</formula>
    </cfRule>
  </conditionalFormatting>
  <conditionalFormatting sqref="L32">
    <cfRule type="cellIs" dxfId="1" priority="2" operator="lessThan">
      <formula>0</formula>
    </cfRule>
  </conditionalFormatting>
  <conditionalFormatting sqref="N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  <customProperties>
    <customPr name="_pios_id" r:id="rId2"/>
    <customPr name="EpmWorksheetKeyString_GUID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S35"/>
  <sheetViews>
    <sheetView zoomScaleNormal="100" workbookViewId="0">
      <pane xSplit="6" ySplit="4" topLeftCell="AC5" activePane="bottomRight" state="frozen"/>
      <selection pane="topRight" activeCell="G1" sqref="G1"/>
      <selection pane="bottomLeft" activeCell="A5" sqref="A5"/>
      <selection pane="bottomRight" activeCell="AH15" sqref="AH15"/>
    </sheetView>
  </sheetViews>
  <sheetFormatPr defaultRowHeight="16.5" x14ac:dyDescent="0.2"/>
  <cols>
    <col min="1" max="4" width="9" style="3"/>
    <col min="5" max="6" width="14.375" style="8" customWidth="1"/>
    <col min="7" max="17" width="9" style="3" customWidth="1"/>
    <col min="18" max="33" width="10.375" style="3" customWidth="1"/>
    <col min="34" max="34" width="9.625" style="3" bestFit="1" customWidth="1"/>
    <col min="35" max="36" width="9.625" style="3" customWidth="1"/>
    <col min="37" max="16384" width="9" style="3"/>
  </cols>
  <sheetData>
    <row r="2" spans="1:45" s="7" customFormat="1" ht="15" x14ac:dyDescent="0.2">
      <c r="G2" s="209" t="s">
        <v>47</v>
      </c>
      <c r="H2" s="209"/>
      <c r="I2" s="209"/>
      <c r="J2" s="209" t="s">
        <v>48</v>
      </c>
      <c r="K2" s="209"/>
      <c r="L2" s="209"/>
      <c r="M2" s="209">
        <v>2505</v>
      </c>
      <c r="N2" s="209"/>
      <c r="O2" s="209"/>
      <c r="P2" s="209"/>
      <c r="Q2" s="209"/>
      <c r="R2" s="209" t="s">
        <v>75</v>
      </c>
      <c r="S2" s="209"/>
      <c r="T2" s="209"/>
      <c r="U2" s="209"/>
      <c r="V2" s="209"/>
      <c r="W2" s="209"/>
      <c r="X2" s="209"/>
      <c r="Y2" s="209"/>
      <c r="Z2" s="209" t="s">
        <v>74</v>
      </c>
      <c r="AA2" s="209"/>
      <c r="AB2" s="209"/>
      <c r="AC2" s="209"/>
      <c r="AD2" s="209"/>
      <c r="AE2" s="209"/>
      <c r="AF2" s="209"/>
      <c r="AG2" s="209"/>
      <c r="AH2" s="209" t="s">
        <v>67</v>
      </c>
      <c r="AI2" s="209"/>
      <c r="AJ2" s="209"/>
      <c r="AK2" s="209" t="s">
        <v>49</v>
      </c>
      <c r="AL2" s="209"/>
      <c r="AM2" s="209"/>
      <c r="AN2" s="209"/>
      <c r="AO2" s="209"/>
      <c r="AP2" s="209"/>
      <c r="AR2" s="209" t="s">
        <v>99</v>
      </c>
      <c r="AS2" s="209"/>
    </row>
    <row r="3" spans="1:45" s="7" customFormat="1" ht="15" x14ac:dyDescent="0.2">
      <c r="A3" s="209" t="s">
        <v>57</v>
      </c>
      <c r="B3" s="209"/>
      <c r="C3" s="209" t="s">
        <v>58</v>
      </c>
      <c r="D3" s="209"/>
      <c r="E3" s="100" t="s">
        <v>36</v>
      </c>
      <c r="G3" s="7">
        <v>2502</v>
      </c>
      <c r="H3" s="7">
        <v>2503</v>
      </c>
      <c r="I3" s="7">
        <v>2504</v>
      </c>
      <c r="J3" s="7">
        <v>2502</v>
      </c>
      <c r="K3" s="7">
        <v>2503</v>
      </c>
      <c r="L3" s="73">
        <v>2504</v>
      </c>
      <c r="M3" s="7" t="s">
        <v>47</v>
      </c>
      <c r="N3" s="7" t="s">
        <v>50</v>
      </c>
      <c r="O3" s="7" t="s">
        <v>48</v>
      </c>
      <c r="P3" s="7" t="s">
        <v>51</v>
      </c>
      <c r="Q3" s="7" t="s">
        <v>52</v>
      </c>
      <c r="R3" s="100" t="s">
        <v>66</v>
      </c>
      <c r="S3" s="100" t="s">
        <v>40</v>
      </c>
      <c r="T3" s="100" t="s">
        <v>41</v>
      </c>
      <c r="U3" s="100" t="s">
        <v>42</v>
      </c>
      <c r="V3" s="100" t="s">
        <v>43</v>
      </c>
      <c r="W3" s="100" t="s">
        <v>44</v>
      </c>
      <c r="X3" s="100" t="s">
        <v>72</v>
      </c>
      <c r="Y3" s="100" t="s">
        <v>73</v>
      </c>
      <c r="Z3" s="100" t="s">
        <v>66</v>
      </c>
      <c r="AA3" s="100" t="s">
        <v>40</v>
      </c>
      <c r="AB3" s="100" t="s">
        <v>41</v>
      </c>
      <c r="AC3" s="100" t="s">
        <v>42</v>
      </c>
      <c r="AD3" s="100" t="s">
        <v>43</v>
      </c>
      <c r="AE3" s="100" t="s">
        <v>44</v>
      </c>
      <c r="AF3" s="100" t="s">
        <v>72</v>
      </c>
      <c r="AG3" s="100" t="s">
        <v>73</v>
      </c>
      <c r="AH3" s="77" t="s">
        <v>91</v>
      </c>
      <c r="AI3" s="77" t="s">
        <v>92</v>
      </c>
      <c r="AJ3" s="77" t="s">
        <v>93</v>
      </c>
      <c r="AK3" s="8" t="s">
        <v>66</v>
      </c>
      <c r="AL3" s="8" t="s">
        <v>40</v>
      </c>
      <c r="AM3" s="8" t="s">
        <v>41</v>
      </c>
      <c r="AN3" s="8" t="s">
        <v>42</v>
      </c>
      <c r="AO3" s="8" t="s">
        <v>43</v>
      </c>
      <c r="AP3" s="8" t="s">
        <v>44</v>
      </c>
      <c r="AQ3" s="7" t="s">
        <v>98</v>
      </c>
      <c r="AR3" s="7" t="s">
        <v>100</v>
      </c>
      <c r="AS3" s="7" t="s">
        <v>101</v>
      </c>
    </row>
    <row r="4" spans="1:45" s="79" customFormat="1" ht="15" x14ac:dyDescent="0.2">
      <c r="A4" s="79" t="s">
        <v>55</v>
      </c>
      <c r="B4" s="79" t="s">
        <v>48</v>
      </c>
      <c r="C4" s="79" t="s">
        <v>56</v>
      </c>
      <c r="D4" s="79" t="s">
        <v>48</v>
      </c>
      <c r="E4" s="195" t="s">
        <v>53</v>
      </c>
      <c r="F4" s="195"/>
      <c r="G4" s="80">
        <v>24.120999999999999</v>
      </c>
      <c r="H4" s="80">
        <v>43.899000000000001</v>
      </c>
      <c r="I4" s="80">
        <v>32.798999999999999</v>
      </c>
      <c r="J4" s="81">
        <v>-0.11767503109225264</v>
      </c>
      <c r="K4" s="81">
        <v>1.6439371136169001E-2</v>
      </c>
      <c r="L4" s="81">
        <v>-3.489774900691478E-2</v>
      </c>
      <c r="M4" s="80">
        <f>SUM(M12,M20,M26,M33,M35)</f>
        <v>35.893999999999998</v>
      </c>
      <c r="N4" s="80">
        <f>'2'!D41</f>
        <v>45.45</v>
      </c>
      <c r="O4" s="81">
        <f>M4/N4-1</f>
        <v>-0.21025302530253032</v>
      </c>
      <c r="P4" s="80">
        <f>'2'!F41</f>
        <v>46.4</v>
      </c>
      <c r="Q4" s="81">
        <f>'2'!G41</f>
        <v>0.77357758620689698</v>
      </c>
      <c r="R4" s="81">
        <f>IFERROR(Z4/$M4,"")</f>
        <v>0.15178024182314595</v>
      </c>
      <c r="S4" s="81">
        <f t="shared" ref="S4:Y4" si="0">IFERROR(AA4/$M4,"")</f>
        <v>0.10388922939767092</v>
      </c>
      <c r="T4" s="81">
        <f t="shared" si="0"/>
        <v>0.15907951189613864</v>
      </c>
      <c r="U4" s="81">
        <f t="shared" si="0"/>
        <v>0.11595252688471611</v>
      </c>
      <c r="V4" s="81">
        <f t="shared" si="0"/>
        <v>0.17220148214186215</v>
      </c>
      <c r="W4" s="81">
        <f t="shared" si="0"/>
        <v>0.13927118738507829</v>
      </c>
      <c r="X4" s="81">
        <f t="shared" si="0"/>
        <v>0.11531175126762135</v>
      </c>
      <c r="Y4" s="81">
        <f t="shared" si="0"/>
        <v>4.2514069203766651E-2</v>
      </c>
      <c r="Z4" s="80">
        <f>VLOOKUP($E3,'4'!$A:$K,COLUMN('4'!C$6),0)</f>
        <v>5.4480000000000004</v>
      </c>
      <c r="AA4" s="80">
        <f>VLOOKUP($E3,'4'!$A:$K,COLUMN('4'!D$6),0)</f>
        <v>3.7290000000000001</v>
      </c>
      <c r="AB4" s="80">
        <f>VLOOKUP($E3,'4'!$A:$K,COLUMN('4'!E$6),0)</f>
        <v>5.71</v>
      </c>
      <c r="AC4" s="80">
        <f>VLOOKUP($E3,'4'!$A:$K,COLUMN('4'!F$6),0)</f>
        <v>4.1619999999999999</v>
      </c>
      <c r="AD4" s="80">
        <f>VLOOKUP($E3,'4'!$A:$K,COLUMN('4'!G$6),0)</f>
        <v>6.181</v>
      </c>
      <c r="AE4" s="80">
        <f>VLOOKUP($E3,'4'!$A:$K,COLUMN('4'!H$6),0)</f>
        <v>4.9989999999999997</v>
      </c>
      <c r="AF4" s="80">
        <f>VLOOKUP($E3,'4'!$A:$K,COLUMN('4'!I$6),0)</f>
        <v>4.1390000000000002</v>
      </c>
      <c r="AG4" s="80">
        <f>VLOOKUP($E3,'4'!$A:$K,COLUMN('4'!J$6),0)</f>
        <v>1.526</v>
      </c>
      <c r="AH4" s="142">
        <v>35.417999999999999</v>
      </c>
      <c r="AI4" s="142">
        <f>SUM(AI12,AI20,AI26,AI33)</f>
        <v>33.398499999999999</v>
      </c>
      <c r="AJ4" s="142">
        <f>AI4-AH4</f>
        <v>-2.0195000000000007</v>
      </c>
      <c r="AK4" s="82">
        <f>'3'!C35</f>
        <v>0.49089803365092199</v>
      </c>
      <c r="AL4" s="82">
        <f>'3'!D35</f>
        <v>0.85665969745418802</v>
      </c>
      <c r="AM4" s="82">
        <f>'3'!E35</f>
        <v>0.54092545816090698</v>
      </c>
      <c r="AN4" s="82">
        <f>'3'!F35</f>
        <v>0.682040711156918</v>
      </c>
      <c r="AO4" s="82">
        <f>'3'!G35</f>
        <v>0.55363984674329503</v>
      </c>
      <c r="AP4" s="82">
        <f>'3'!H35</f>
        <v>0.63581541688515997</v>
      </c>
      <c r="AQ4" s="82">
        <f>'3'!I35</f>
        <v>0.70226258934809493</v>
      </c>
      <c r="AR4" s="81">
        <f>'3'!M34</f>
        <v>0.91942324003392695</v>
      </c>
      <c r="AS4" s="81">
        <f>'3'!N34</f>
        <v>0.99406276505513103</v>
      </c>
    </row>
    <row r="5" spans="1:45" x14ac:dyDescent="0.2">
      <c r="C5" s="78">
        <f>RANK(D5,$D$5:$D$34)+COUNTIF($D$5:D5,D5)-1</f>
        <v>25</v>
      </c>
      <c r="D5" s="9">
        <f>Q5</f>
        <v>0.40721491898502005</v>
      </c>
      <c r="E5" s="8" t="s">
        <v>5</v>
      </c>
      <c r="F5" s="8" t="s">
        <v>6</v>
      </c>
      <c r="G5" s="5">
        <v>0.86299999999999999</v>
      </c>
      <c r="H5" s="5">
        <v>2.3090000000000002</v>
      </c>
      <c r="I5" s="5">
        <v>1.59</v>
      </c>
      <c r="J5" s="6">
        <v>-0.49825581395348839</v>
      </c>
      <c r="K5" s="6">
        <v>-0.18004261363636354</v>
      </c>
      <c r="L5" s="6">
        <v>-0.16753926701570676</v>
      </c>
      <c r="M5" s="5">
        <f>SUMIFS('2'!C:C,'2'!$A:$A,基础表!$E5,'2'!$B:$B,基础表!$F5)</f>
        <v>1.3320000000000001</v>
      </c>
      <c r="N5" s="5">
        <f>SUMIFS('2'!D:D,'2'!$A:$A,基础表!$E5,'2'!$B:$B,基础表!$F5)</f>
        <v>2.9169999999999998</v>
      </c>
      <c r="O5" s="6">
        <f t="shared" ref="O5:O35" si="1">M5/N5-1</f>
        <v>-0.54336647240315394</v>
      </c>
      <c r="P5" s="5">
        <f>SUMIFS('2'!F:F,'2'!$A:$A,基础表!$E5,'2'!$B:$B,基础表!$F5)</f>
        <v>3.2709999999999999</v>
      </c>
      <c r="Q5" s="6">
        <f>SUMIFS('2'!G:G,'2'!$A:$A,基础表!$E5,'2'!$B:$B,基础表!$F5)</f>
        <v>0.40721491898502005</v>
      </c>
      <c r="R5" s="6">
        <f t="shared" ref="R5:R35" si="2">IFERROR(Z5/$M5,"")</f>
        <v>0.12012012012012012</v>
      </c>
      <c r="S5" s="6">
        <f t="shared" ref="S5:S35" si="3">IFERROR(AA5/$M5,"")</f>
        <v>0.14264264264264265</v>
      </c>
      <c r="T5" s="6">
        <f t="shared" ref="T5:T35" si="4">IFERROR(AB5/$M5,"")</f>
        <v>0.20645645645645647</v>
      </c>
      <c r="U5" s="6">
        <f t="shared" ref="U5:U35" si="5">IFERROR(AC5/$M5,"")</f>
        <v>0.1463963963963964</v>
      </c>
      <c r="V5" s="6">
        <f t="shared" ref="V5:V35" si="6">IFERROR(AD5/$M5,"")</f>
        <v>0.18618618618618618</v>
      </c>
      <c r="W5" s="6">
        <f t="shared" ref="W5:W35" si="7">IFERROR(AE5/$M5,"")</f>
        <v>0.11186186186186185</v>
      </c>
      <c r="X5" s="6">
        <f t="shared" ref="X5:X35" si="8">IFERROR(AF5/$M5,"")</f>
        <v>8.6336336336336333E-2</v>
      </c>
      <c r="Y5" s="6">
        <f t="shared" ref="Y5:Y35" si="9">IFERROR(AG5/$M5,"")</f>
        <v>0</v>
      </c>
      <c r="Z5" s="5">
        <f>SUMIFS('4'!C:C,'4'!$A:$A,基础表!$E5,'4'!$B:$B,基础表!$F5)</f>
        <v>0.16</v>
      </c>
      <c r="AA5" s="5">
        <f>SUMIFS('4'!D:D,'4'!$A:$A,基础表!$E5,'4'!$B:$B,基础表!$F5)</f>
        <v>0.19</v>
      </c>
      <c r="AB5" s="5">
        <f>SUMIFS('4'!E:E,'4'!$A:$A,基础表!$E5,'4'!$B:$B,基础表!$F5)</f>
        <v>0.27500000000000002</v>
      </c>
      <c r="AC5" s="5">
        <f>SUMIFS('4'!F:F,'4'!$A:$A,基础表!$E5,'4'!$B:$B,基础表!$F5)</f>
        <v>0.19500000000000001</v>
      </c>
      <c r="AD5" s="5">
        <f>SUMIFS('4'!G:G,'4'!$A:$A,基础表!$E5,'4'!$B:$B,基础表!$F5)</f>
        <v>0.248</v>
      </c>
      <c r="AE5" s="5">
        <f>SUMIFS('4'!H:H,'4'!$A:$A,基础表!$E5,'4'!$B:$B,基础表!$F5)</f>
        <v>0.14899999999999999</v>
      </c>
      <c r="AF5" s="5">
        <f>SUMIFS('4'!I:I,'4'!$A:$A,基础表!$E5,'4'!$B:$B,基础表!$F5)</f>
        <v>0.115</v>
      </c>
      <c r="AG5" s="5">
        <f>SUMIFS('4'!J:J,'4'!$A:$A,基础表!$E5,'4'!$B:$B,基础表!$F5)</f>
        <v>0</v>
      </c>
      <c r="AH5" s="143">
        <v>2.286</v>
      </c>
      <c r="AI5" s="143">
        <v>1.482</v>
      </c>
      <c r="AJ5" s="143">
        <f>AI5-AH5</f>
        <v>-0.80400000000000005</v>
      </c>
      <c r="AK5" s="6">
        <f>SUMIFS('3'!C:C,'3'!$A:$A,基础表!$E5,'3'!$B:$B,基础表!$F5)</f>
        <v>0.64791133844842308</v>
      </c>
      <c r="AL5" s="6">
        <f>SUMIFS('3'!D:D,'3'!$A:$A,基础表!$E5,'3'!$B:$B,基础表!$F5)</f>
        <v>0.95063291139240502</v>
      </c>
      <c r="AM5" s="6">
        <f>SUMIFS('3'!E:E,'3'!$A:$A,基础表!$E5,'3'!$B:$B,基础表!$F5)</f>
        <v>0.66285119667013503</v>
      </c>
      <c r="AN5" s="6">
        <f>SUMIFS('3'!F:F,'3'!$A:$A,基础表!$E5,'3'!$B:$B,基础表!$F5)</f>
        <v>0.59119496855345899</v>
      </c>
      <c r="AO5" s="6">
        <f>SUMIFS('3'!G:G,'3'!$A:$A,基础表!$E5,'3'!$B:$B,基础表!$F5)</f>
        <v>0.66382252559726995</v>
      </c>
      <c r="AP5" s="6">
        <f>SUMIFS('3'!H:H,'3'!$A:$A,基础表!$E5,'3'!$B:$B,基础表!$F5)</f>
        <v>0.575949367088608</v>
      </c>
      <c r="AQ5" s="6">
        <f>SUMIFS('3'!I:I,'3'!$A:$A,基础表!$E5,'3'!$B:$B,基础表!$F5)</f>
        <v>0.78303850156087407</v>
      </c>
      <c r="AR5" s="6">
        <f>SUMIFS('3'!M:M,'3'!$K:$K,基础表!$E5,'3'!$L:$L,基础表!$F5)</f>
        <v>0.92857142857142905</v>
      </c>
      <c r="AS5" s="6">
        <f>SUMIFS('3'!N:N,'3'!$K:$K,基础表!$E5,'3'!$L:$L,基础表!$F5)</f>
        <v>0.97619047619047605</v>
      </c>
    </row>
    <row r="6" spans="1:45" x14ac:dyDescent="0.2">
      <c r="C6" s="78">
        <f>RANK(D6,$D$5:$D$34)+COUNTIF($D$5:D6,D6)-1</f>
        <v>1</v>
      </c>
      <c r="D6" s="9">
        <f>Q6</f>
        <v>2.6376350921805498</v>
      </c>
      <c r="E6" s="8" t="s">
        <v>5</v>
      </c>
      <c r="F6" s="8" t="s">
        <v>7</v>
      </c>
      <c r="G6" s="5">
        <v>0.86299999999999999</v>
      </c>
      <c r="H6" s="5">
        <v>2.17</v>
      </c>
      <c r="I6" s="5">
        <v>1.2769999999999999</v>
      </c>
      <c r="J6" s="6">
        <v>-0.49825581395348839</v>
      </c>
      <c r="K6" s="6">
        <v>2.333333333333333</v>
      </c>
      <c r="L6" s="6">
        <v>0.18131359851988904</v>
      </c>
      <c r="M6" s="5">
        <f>SUMIFS('2'!C:C,'2'!$A:$A,基础表!$E6,'2'!$B:$B,基础表!$F6)</f>
        <v>4.149</v>
      </c>
      <c r="N6" s="5">
        <f>SUMIFS('2'!D:D,'2'!$A:$A,基础表!$E6,'2'!$B:$B,基础表!$F6)</f>
        <v>1.208</v>
      </c>
      <c r="O6" s="6">
        <f t="shared" ref="O6" si="10">M6/N6-1</f>
        <v>2.4346026490066226</v>
      </c>
      <c r="P6" s="5">
        <f>SUMIFS('2'!F:F,'2'!$A:$A,基础表!$E6,'2'!$B:$B,基础表!$F6)</f>
        <v>1.573</v>
      </c>
      <c r="Q6" s="6">
        <f>SUMIFS('2'!G:G,'2'!$A:$A,基础表!$E6,'2'!$B:$B,基础表!$F6)</f>
        <v>2.6376350921805498</v>
      </c>
      <c r="R6" s="6">
        <f t="shared" si="2"/>
        <v>0</v>
      </c>
      <c r="S6" s="6">
        <f t="shared" si="3"/>
        <v>5.5435044589057601E-3</v>
      </c>
      <c r="T6" s="6">
        <f t="shared" si="4"/>
        <v>7.8573150156664259E-2</v>
      </c>
      <c r="U6" s="6">
        <f t="shared" si="5"/>
        <v>0</v>
      </c>
      <c r="V6" s="6">
        <f t="shared" si="6"/>
        <v>0.43142926006266569</v>
      </c>
      <c r="W6" s="6">
        <f t="shared" si="7"/>
        <v>0.12051096649795132</v>
      </c>
      <c r="X6" s="6">
        <f t="shared" si="8"/>
        <v>0</v>
      </c>
      <c r="Y6" s="6">
        <f t="shared" si="9"/>
        <v>0.36394311882381297</v>
      </c>
      <c r="Z6" s="5">
        <f>SUMIFS('4'!C:C,'4'!$A:$A,基础表!$E6,'4'!$B:$B,基础表!$F6)</f>
        <v>0</v>
      </c>
      <c r="AA6" s="5">
        <f>SUMIFS('4'!D:D,'4'!$A:$A,基础表!$E6,'4'!$B:$B,基础表!$F6)</f>
        <v>2.3E-2</v>
      </c>
      <c r="AB6" s="5">
        <f>SUMIFS('4'!E:E,'4'!$A:$A,基础表!$E6,'4'!$B:$B,基础表!$F6)</f>
        <v>0.32600000000000001</v>
      </c>
      <c r="AC6" s="5">
        <f>SUMIFS('4'!F:F,'4'!$A:$A,基础表!$E6,'4'!$B:$B,基础表!$F6)</f>
        <v>0</v>
      </c>
      <c r="AD6" s="5">
        <f>SUMIFS('4'!G:G,'4'!$A:$A,基础表!$E6,'4'!$B:$B,基础表!$F6)</f>
        <v>1.79</v>
      </c>
      <c r="AE6" s="5">
        <f>SUMIFS('4'!H:H,'4'!$A:$A,基础表!$E6,'4'!$B:$B,基础表!$F6)</f>
        <v>0.5</v>
      </c>
      <c r="AF6" s="5">
        <f>SUMIFS('4'!I:I,'4'!$A:$A,基础表!$E6,'4'!$B:$B,基础表!$F6)</f>
        <v>0</v>
      </c>
      <c r="AG6" s="5">
        <f>SUMIFS('4'!J:J,'4'!$A:$A,基础表!$E6,'4'!$B:$B,基础表!$F6)</f>
        <v>1.51</v>
      </c>
      <c r="AH6" s="143"/>
      <c r="AI6" s="143"/>
      <c r="AJ6" s="143"/>
      <c r="AK6" s="6"/>
      <c r="AL6" s="6"/>
      <c r="AM6" s="6"/>
      <c r="AN6" s="6"/>
      <c r="AO6" s="6"/>
      <c r="AP6" s="6"/>
      <c r="AQ6" s="6"/>
      <c r="AR6" s="6">
        <f>SUMIFS('3'!M:M,'3'!$K:$K,基础表!$E6,'3'!$L:$L,基础表!$F6)</f>
        <v>0</v>
      </c>
      <c r="AS6" s="6">
        <f>SUMIFS('3'!N:N,'3'!$K:$K,基础表!$E6,'3'!$L:$L,基础表!$F6)</f>
        <v>0</v>
      </c>
    </row>
    <row r="7" spans="1:45" x14ac:dyDescent="0.2">
      <c r="C7" s="78">
        <f>RANK(D7,$D$5:$D$34)+COUNTIF($D$5:D7,D7)-1</f>
        <v>8</v>
      </c>
      <c r="D7" s="6">
        <f t="shared" ref="D7:D11" si="11">Q7</f>
        <v>0.81408898305084709</v>
      </c>
      <c r="E7" s="8" t="s">
        <v>5</v>
      </c>
      <c r="F7" s="8" t="s">
        <v>8</v>
      </c>
      <c r="G7" s="5">
        <v>0.753</v>
      </c>
      <c r="H7" s="5">
        <v>1.597</v>
      </c>
      <c r="I7" s="5">
        <v>1.272</v>
      </c>
      <c r="J7" s="6">
        <v>-0.34235807860262013</v>
      </c>
      <c r="K7" s="6">
        <v>5.0346129641283266E-3</v>
      </c>
      <c r="L7" s="6">
        <v>0.17019319227230922</v>
      </c>
      <c r="M7" s="5">
        <f>SUMIFS('2'!C:C,'2'!$A:$A,基础表!$E7,'2'!$B:$B,基础表!$F7)</f>
        <v>1.5369999999999999</v>
      </c>
      <c r="N7" s="5">
        <f>SUMIFS('2'!D:D,'2'!$A:$A,基础表!$E7,'2'!$B:$B,基础表!$F7)</f>
        <v>1.597</v>
      </c>
      <c r="O7" s="6">
        <f t="shared" si="1"/>
        <v>-3.7570444583594265E-2</v>
      </c>
      <c r="P7" s="5">
        <f>SUMIFS('2'!F:F,'2'!$A:$A,基础表!$E7,'2'!$B:$B,基础表!$F7)</f>
        <v>1.8879999999999999</v>
      </c>
      <c r="Q7" s="6">
        <f>SUMIFS('2'!G:G,'2'!$A:$A,基础表!$E7,'2'!$B:$B,基础表!$F7)</f>
        <v>0.81408898305084709</v>
      </c>
      <c r="R7" s="6">
        <f t="shared" si="2"/>
        <v>0.12426805465191933</v>
      </c>
      <c r="S7" s="6">
        <f t="shared" si="3"/>
        <v>0.10474951203643462</v>
      </c>
      <c r="T7" s="6">
        <f t="shared" si="4"/>
        <v>0.15289525048796357</v>
      </c>
      <c r="U7" s="6">
        <f t="shared" si="5"/>
        <v>0.13728041639557581</v>
      </c>
      <c r="V7" s="6">
        <f t="shared" si="6"/>
        <v>0.13728041639557581</v>
      </c>
      <c r="W7" s="6">
        <f t="shared" si="7"/>
        <v>0.13662979830839297</v>
      </c>
      <c r="X7" s="6">
        <f t="shared" si="8"/>
        <v>0.20689655172413796</v>
      </c>
      <c r="Y7" s="6">
        <f t="shared" si="9"/>
        <v>0</v>
      </c>
      <c r="Z7" s="5">
        <f>SUMIFS('4'!C:C,'4'!$A:$A,基础表!$E7,'4'!$B:$B,基础表!$F7)</f>
        <v>0.191</v>
      </c>
      <c r="AA7" s="5">
        <f>SUMIFS('4'!D:D,'4'!$A:$A,基础表!$E7,'4'!$B:$B,基础表!$F7)</f>
        <v>0.161</v>
      </c>
      <c r="AB7" s="5">
        <f>SUMIFS('4'!E:E,'4'!$A:$A,基础表!$E7,'4'!$B:$B,基础表!$F7)</f>
        <v>0.23499999999999999</v>
      </c>
      <c r="AC7" s="5">
        <f>SUMIFS('4'!F:F,'4'!$A:$A,基础表!$E7,'4'!$B:$B,基础表!$F7)</f>
        <v>0.21099999999999999</v>
      </c>
      <c r="AD7" s="5">
        <f>SUMIFS('4'!G:G,'4'!$A:$A,基础表!$E7,'4'!$B:$B,基础表!$F7)</f>
        <v>0.21099999999999999</v>
      </c>
      <c r="AE7" s="5">
        <f>SUMIFS('4'!H:H,'4'!$A:$A,基础表!$E7,'4'!$B:$B,基础表!$F7)</f>
        <v>0.21</v>
      </c>
      <c r="AF7" s="5">
        <f>SUMIFS('4'!I:I,'4'!$A:$A,基础表!$E7,'4'!$B:$B,基础表!$F7)</f>
        <v>0.318</v>
      </c>
      <c r="AG7" s="5">
        <f>SUMIFS('4'!J:J,'4'!$A:$A,基础表!$E7,'4'!$B:$B,基础表!$F7)</f>
        <v>0</v>
      </c>
      <c r="AH7" s="143">
        <v>0.375</v>
      </c>
      <c r="AI7" s="143">
        <v>0.52300000000000002</v>
      </c>
      <c r="AJ7" s="143">
        <f t="shared" ref="AJ7:AJ33" si="12">AI7-AH7</f>
        <v>0.14800000000000002</v>
      </c>
      <c r="AK7" s="6">
        <f>SUMIFS('3'!C:C,'3'!$A:$A,基础表!$E7,'3'!$B:$B,基础表!$F7)</f>
        <v>0.90165745856353596</v>
      </c>
      <c r="AL7" s="6">
        <f>SUMIFS('3'!D:D,'3'!$A:$A,基础表!$E7,'3'!$B:$B,基础表!$F7)</f>
        <v>0.893455098934551</v>
      </c>
      <c r="AM7" s="6">
        <f>SUMIFS('3'!E:E,'3'!$A:$A,基础表!$E7,'3'!$B:$B,基础表!$F7)</f>
        <v>0.88591117917304696</v>
      </c>
      <c r="AN7" s="6">
        <f>SUMIFS('3'!F:F,'3'!$A:$A,基础表!$E7,'3'!$B:$B,基础表!$F7)</f>
        <v>0.96242774566473999</v>
      </c>
      <c r="AO7" s="6">
        <f>SUMIFS('3'!G:G,'3'!$A:$A,基础表!$E7,'3'!$B:$B,基础表!$F7)</f>
        <v>0.9102990033222591</v>
      </c>
      <c r="AP7" s="6">
        <f>SUMIFS('3'!H:H,'3'!$A:$A,基础表!$E7,'3'!$B:$B,基础表!$F7)</f>
        <v>0.95375722543352592</v>
      </c>
      <c r="AQ7" s="6">
        <f>SUMIFS('3'!I:I,'3'!$A:$A,基础表!$E7,'3'!$B:$B,基础表!$F7)</f>
        <v>0.89433384379785597</v>
      </c>
      <c r="AR7" s="6">
        <f>SUMIFS('3'!M:M,'3'!$K:$K,基础表!$E7,'3'!$L:$L,基础表!$F7)</f>
        <v>0.96240601503759393</v>
      </c>
      <c r="AS7" s="6">
        <f>SUMIFS('3'!N:N,'3'!$K:$K,基础表!$E7,'3'!$L:$L,基础表!$F7)</f>
        <v>0.97744360902255589</v>
      </c>
    </row>
    <row r="8" spans="1:45" x14ac:dyDescent="0.2">
      <c r="C8" s="78">
        <f>RANK(D8,$D$5:$D$34)+COUNTIF($D$5:D8,D8)-1</f>
        <v>17</v>
      </c>
      <c r="D8" s="6">
        <f t="shared" si="11"/>
        <v>0.629893238434164</v>
      </c>
      <c r="E8" s="8" t="s">
        <v>5</v>
      </c>
      <c r="F8" s="8" t="s">
        <v>9</v>
      </c>
      <c r="G8" s="5">
        <v>0.63300000000000001</v>
      </c>
      <c r="H8" s="5">
        <v>1.1839999999999999</v>
      </c>
      <c r="I8" s="5">
        <v>0.82499999999999996</v>
      </c>
      <c r="J8" s="6">
        <v>-3.9453717754173057E-2</v>
      </c>
      <c r="K8" s="6">
        <v>0.15175097276264582</v>
      </c>
      <c r="L8" s="6">
        <v>9.8535286284953338E-2</v>
      </c>
      <c r="M8" s="5">
        <f>SUMIFS('2'!C:C,'2'!$A:$A,基础表!$E8,'2'!$B:$B,基础表!$F8)</f>
        <v>0.88500000000000001</v>
      </c>
      <c r="N8" s="5">
        <f>SUMIFS('2'!D:D,'2'!$A:$A,基础表!$E8,'2'!$B:$B,基础表!$F8)</f>
        <v>1.569</v>
      </c>
      <c r="O8" s="6">
        <f t="shared" si="1"/>
        <v>-0.43594646271510518</v>
      </c>
      <c r="P8" s="5">
        <f>SUMIFS('2'!F:F,'2'!$A:$A,基础表!$E8,'2'!$B:$B,基础表!$F8)</f>
        <v>1.405</v>
      </c>
      <c r="Q8" s="6">
        <f>SUMIFS('2'!G:G,'2'!$A:$A,基础表!$E8,'2'!$B:$B,基础表!$F8)</f>
        <v>0.629893238434164</v>
      </c>
      <c r="R8" s="6">
        <f t="shared" si="2"/>
        <v>0.14237288135593221</v>
      </c>
      <c r="S8" s="6">
        <f t="shared" si="3"/>
        <v>0.13559322033898305</v>
      </c>
      <c r="T8" s="6">
        <f t="shared" si="4"/>
        <v>0.18305084745762712</v>
      </c>
      <c r="U8" s="6">
        <f t="shared" si="5"/>
        <v>0.16384180790960451</v>
      </c>
      <c r="V8" s="6">
        <f t="shared" si="6"/>
        <v>0.103954802259887</v>
      </c>
      <c r="W8" s="6">
        <f t="shared" si="7"/>
        <v>0.1175141242937853</v>
      </c>
      <c r="X8" s="6">
        <f t="shared" si="8"/>
        <v>0.1536723163841808</v>
      </c>
      <c r="Y8" s="6">
        <f t="shared" si="9"/>
        <v>0</v>
      </c>
      <c r="Z8" s="5">
        <f>SUMIFS('4'!C:C,'4'!$A:$A,基础表!$E8,'4'!$B:$B,基础表!$F8)</f>
        <v>0.126</v>
      </c>
      <c r="AA8" s="5">
        <f>SUMIFS('4'!D:D,'4'!$A:$A,基础表!$E8,'4'!$B:$B,基础表!$F8)</f>
        <v>0.12</v>
      </c>
      <c r="AB8" s="5">
        <f>SUMIFS('4'!E:E,'4'!$A:$A,基础表!$E8,'4'!$B:$B,基础表!$F8)</f>
        <v>0.16200000000000001</v>
      </c>
      <c r="AC8" s="5">
        <f>SUMIFS('4'!F:F,'4'!$A:$A,基础表!$E8,'4'!$B:$B,基础表!$F8)</f>
        <v>0.14499999999999999</v>
      </c>
      <c r="AD8" s="5">
        <f>SUMIFS('4'!G:G,'4'!$A:$A,基础表!$E8,'4'!$B:$B,基础表!$F8)</f>
        <v>9.1999999999999998E-2</v>
      </c>
      <c r="AE8" s="5">
        <f>SUMIFS('4'!H:H,'4'!$A:$A,基础表!$E8,'4'!$B:$B,基础表!$F8)</f>
        <v>0.104</v>
      </c>
      <c r="AF8" s="5">
        <f>SUMIFS('4'!I:I,'4'!$A:$A,基础表!$E8,'4'!$B:$B,基础表!$F8)</f>
        <v>0.13600000000000001</v>
      </c>
      <c r="AG8" s="5">
        <f>SUMIFS('4'!J:J,'4'!$A:$A,基础表!$E8,'4'!$B:$B,基础表!$F8)</f>
        <v>0</v>
      </c>
      <c r="AH8" s="143">
        <v>0.33900000000000002</v>
      </c>
      <c r="AI8" s="143">
        <v>0.54100000000000004</v>
      </c>
      <c r="AJ8" s="143">
        <f t="shared" si="12"/>
        <v>0.20200000000000001</v>
      </c>
      <c r="AK8" s="6">
        <f>SUMIFS('3'!C:C,'3'!$A:$A,基础表!$E8,'3'!$B:$B,基础表!$F8)</f>
        <v>0.88354037267080698</v>
      </c>
      <c r="AL8" s="6">
        <f>SUMIFS('3'!D:D,'3'!$A:$A,基础表!$E8,'3'!$B:$B,基础表!$F8)</f>
        <v>0.97457627118644097</v>
      </c>
      <c r="AM8" s="6">
        <f>SUMIFS('3'!E:E,'3'!$A:$A,基础表!$E8,'3'!$B:$B,基础表!$F8)</f>
        <v>0.84623015873015905</v>
      </c>
      <c r="AN8" s="6">
        <f>SUMIFS('3'!F:F,'3'!$A:$A,基础表!$E8,'3'!$B:$B,基础表!$F8)</f>
        <v>0.9375</v>
      </c>
      <c r="AO8" s="6">
        <f>SUMIFS('3'!G:G,'3'!$A:$A,基础表!$E8,'3'!$B:$B,基础表!$F8)</f>
        <v>0.91981132075471705</v>
      </c>
      <c r="AP8" s="6">
        <f>SUMIFS('3'!H:H,'3'!$A:$A,基础表!$E8,'3'!$B:$B,基础表!$F8)</f>
        <v>0.9354838709677421</v>
      </c>
      <c r="AQ8" s="6">
        <f>SUMIFS('3'!I:I,'3'!$A:$A,基础表!$E8,'3'!$B:$B,基础表!$F8)</f>
        <v>0.87797619047619091</v>
      </c>
      <c r="AR8" s="6">
        <f>SUMIFS('3'!M:M,'3'!$K:$K,基础表!$E8,'3'!$L:$L,基础表!$F8)</f>
        <v>1</v>
      </c>
      <c r="AS8" s="6">
        <f>SUMIFS('3'!N:N,'3'!$K:$K,基础表!$E8,'3'!$L:$L,基础表!$F8)</f>
        <v>1</v>
      </c>
    </row>
    <row r="9" spans="1:45" x14ac:dyDescent="0.2">
      <c r="C9" s="78">
        <f>RANK(D9,$D$5:$D$34)+COUNTIF($D$5:D9,D9)-1</f>
        <v>18</v>
      </c>
      <c r="D9" s="6">
        <f t="shared" si="11"/>
        <v>0.59667673716012093</v>
      </c>
      <c r="E9" s="8" t="s">
        <v>5</v>
      </c>
      <c r="F9" s="8" t="s">
        <v>10</v>
      </c>
      <c r="G9" s="5">
        <v>0.58899999999999997</v>
      </c>
      <c r="H9" s="5">
        <v>1.125</v>
      </c>
      <c r="I9" s="5">
        <v>0.64500000000000002</v>
      </c>
      <c r="J9" s="6">
        <v>-0.16925246826516216</v>
      </c>
      <c r="K9" s="6">
        <v>7.1620411817368002E-3</v>
      </c>
      <c r="L9" s="6">
        <v>1.8957345971563955E-2</v>
      </c>
      <c r="M9" s="5">
        <f>SUMIFS('2'!C:C,'2'!$A:$A,基础表!$E9,'2'!$B:$B,基础表!$F9)</f>
        <v>0.79</v>
      </c>
      <c r="N9" s="5">
        <f>SUMIFS('2'!D:D,'2'!$A:$A,基础表!$E9,'2'!$B:$B,基础表!$F9)</f>
        <v>1.478</v>
      </c>
      <c r="O9" s="6">
        <f t="shared" si="1"/>
        <v>-0.4654939106901218</v>
      </c>
      <c r="P9" s="5">
        <f>SUMIFS('2'!F:F,'2'!$A:$A,基础表!$E9,'2'!$B:$B,基础表!$F9)</f>
        <v>1.3240000000000001</v>
      </c>
      <c r="Q9" s="6">
        <f>SUMIFS('2'!G:G,'2'!$A:$A,基础表!$E9,'2'!$B:$B,基础表!$F9)</f>
        <v>0.59667673716012093</v>
      </c>
      <c r="R9" s="6">
        <f t="shared" si="2"/>
        <v>0.21265822784810126</v>
      </c>
      <c r="S9" s="6">
        <f t="shared" si="3"/>
        <v>0.11139240506329112</v>
      </c>
      <c r="T9" s="6">
        <f t="shared" si="4"/>
        <v>0.21139240506329116</v>
      </c>
      <c r="U9" s="6">
        <f t="shared" si="5"/>
        <v>9.8734177215189872E-2</v>
      </c>
      <c r="V9" s="6">
        <f t="shared" si="6"/>
        <v>0.16202531645569621</v>
      </c>
      <c r="W9" s="6">
        <f t="shared" si="7"/>
        <v>0.13037974683544301</v>
      </c>
      <c r="X9" s="6">
        <f t="shared" si="8"/>
        <v>7.3417721518987344E-2</v>
      </c>
      <c r="Y9" s="6">
        <f t="shared" si="9"/>
        <v>0</v>
      </c>
      <c r="Z9" s="5">
        <f>SUMIFS('4'!C:C,'4'!$A:$A,基础表!$E9,'4'!$B:$B,基础表!$F9)</f>
        <v>0.16800000000000001</v>
      </c>
      <c r="AA9" s="5">
        <f>SUMIFS('4'!D:D,'4'!$A:$A,基础表!$E9,'4'!$B:$B,基础表!$F9)</f>
        <v>8.7999999999999995E-2</v>
      </c>
      <c r="AB9" s="5">
        <f>SUMIFS('4'!E:E,'4'!$A:$A,基础表!$E9,'4'!$B:$B,基础表!$F9)</f>
        <v>0.16700000000000001</v>
      </c>
      <c r="AC9" s="5">
        <f>SUMIFS('4'!F:F,'4'!$A:$A,基础表!$E9,'4'!$B:$B,基础表!$F9)</f>
        <v>7.8E-2</v>
      </c>
      <c r="AD9" s="5">
        <f>SUMIFS('4'!G:G,'4'!$A:$A,基础表!$E9,'4'!$B:$B,基础表!$F9)</f>
        <v>0.128</v>
      </c>
      <c r="AE9" s="5">
        <f>SUMIFS('4'!H:H,'4'!$A:$A,基础表!$E9,'4'!$B:$B,基础表!$F9)</f>
        <v>0.10299999999999999</v>
      </c>
      <c r="AF9" s="5">
        <f>SUMIFS('4'!I:I,'4'!$A:$A,基础表!$E9,'4'!$B:$B,基础表!$F9)</f>
        <v>5.8000000000000003E-2</v>
      </c>
      <c r="AG9" s="5">
        <f>SUMIFS('4'!J:J,'4'!$A:$A,基础表!$E9,'4'!$B:$B,基础表!$F9)</f>
        <v>0</v>
      </c>
      <c r="AH9" s="143">
        <v>0.252</v>
      </c>
      <c r="AI9" s="143">
        <v>0.34300000000000003</v>
      </c>
      <c r="AJ9" s="143">
        <f t="shared" si="12"/>
        <v>9.1000000000000025E-2</v>
      </c>
      <c r="AK9" s="6">
        <f>SUMIFS('3'!C:C,'3'!$A:$A,基础表!$E9,'3'!$B:$B,基础表!$F9)</f>
        <v>0.94216867469879506</v>
      </c>
      <c r="AL9" s="6">
        <f>SUMIFS('3'!D:D,'3'!$A:$A,基础表!$E9,'3'!$B:$B,基础表!$F9)</f>
        <v>0.98996655518394605</v>
      </c>
      <c r="AM9" s="6">
        <f>SUMIFS('3'!E:E,'3'!$A:$A,基础表!$E9,'3'!$B:$B,基础表!$F9)</f>
        <v>0.94047619047619091</v>
      </c>
      <c r="AN9" s="6">
        <f>SUMIFS('3'!F:F,'3'!$A:$A,基础表!$E9,'3'!$B:$B,基础表!$F9)</f>
        <v>0.98095238095238102</v>
      </c>
      <c r="AO9" s="6">
        <f>SUMIFS('3'!G:G,'3'!$A:$A,基础表!$E9,'3'!$B:$B,基础表!$F9)</f>
        <v>0.96825396825396792</v>
      </c>
      <c r="AP9" s="6">
        <f>SUMIFS('3'!H:H,'3'!$A:$A,基础表!$E9,'3'!$B:$B,基础表!$F9)</f>
        <v>1</v>
      </c>
      <c r="AQ9" s="6">
        <f>SUMIFS('3'!I:I,'3'!$A:$A,基础表!$E9,'3'!$B:$B,基础表!$F9)</f>
        <v>0.94494047619047605</v>
      </c>
      <c r="AR9" s="6">
        <f>SUMIFS('3'!M:M,'3'!$K:$K,基础表!$E9,'3'!$L:$L,基础表!$F9)</f>
        <v>1</v>
      </c>
      <c r="AS9" s="6">
        <f>SUMIFS('3'!N:N,'3'!$K:$K,基础表!$E9,'3'!$L:$L,基础表!$F9)</f>
        <v>1</v>
      </c>
    </row>
    <row r="10" spans="1:45" x14ac:dyDescent="0.2">
      <c r="C10" s="78">
        <f>RANK(D10,$D$5:$D$34)+COUNTIF($D$5:D10,D10)-1</f>
        <v>12</v>
      </c>
      <c r="D10" s="6">
        <f t="shared" si="11"/>
        <v>0.75087260034904002</v>
      </c>
      <c r="E10" s="8" t="s">
        <v>5</v>
      </c>
      <c r="F10" s="8" t="s">
        <v>11</v>
      </c>
      <c r="G10" s="5">
        <v>1.4770000000000001</v>
      </c>
      <c r="H10" s="5">
        <v>2.0059999999999998</v>
      </c>
      <c r="I10" s="5">
        <v>2.35</v>
      </c>
      <c r="J10" s="6">
        <v>0.34272727272727277</v>
      </c>
      <c r="K10" s="6">
        <v>0.21575757575757559</v>
      </c>
      <c r="L10" s="6">
        <v>0.45420792079207928</v>
      </c>
      <c r="M10" s="5">
        <f>SUMIFS('2'!C:C,'2'!$A:$A,基础表!$E10,'2'!$B:$B,基础表!$F10)</f>
        <v>1.7210000000000001</v>
      </c>
      <c r="N10" s="5">
        <f>SUMIFS('2'!D:D,'2'!$A:$A,基础表!$E10,'2'!$B:$B,基础表!$F10)</f>
        <v>1.5640000000000001</v>
      </c>
      <c r="O10" s="6">
        <f t="shared" si="1"/>
        <v>0.10038363171355491</v>
      </c>
      <c r="P10" s="5">
        <f>SUMIFS('2'!F:F,'2'!$A:$A,基础表!$E10,'2'!$B:$B,基础表!$F10)</f>
        <v>2.2919999999999998</v>
      </c>
      <c r="Q10" s="6">
        <f>SUMIFS('2'!G:G,'2'!$A:$A,基础表!$E10,'2'!$B:$B,基础表!$F10)</f>
        <v>0.75087260034904002</v>
      </c>
      <c r="R10" s="6">
        <f t="shared" si="2"/>
        <v>0.15165601394538059</v>
      </c>
      <c r="S10" s="6">
        <f t="shared" si="3"/>
        <v>0.10749564206856478</v>
      </c>
      <c r="T10" s="6">
        <f t="shared" si="4"/>
        <v>0.14875072632190586</v>
      </c>
      <c r="U10" s="6">
        <f t="shared" si="5"/>
        <v>0.13422428820453225</v>
      </c>
      <c r="V10" s="6">
        <f t="shared" si="6"/>
        <v>0.14235909355026147</v>
      </c>
      <c r="W10" s="6">
        <f t="shared" si="7"/>
        <v>0.15514235909355026</v>
      </c>
      <c r="X10" s="6">
        <f t="shared" si="8"/>
        <v>0.16037187681580478</v>
      </c>
      <c r="Y10" s="6">
        <f t="shared" si="9"/>
        <v>0</v>
      </c>
      <c r="Z10" s="5">
        <f>SUMIFS('4'!C:C,'4'!$A:$A,基础表!$E10,'4'!$B:$B,基础表!$F10)</f>
        <v>0.26100000000000001</v>
      </c>
      <c r="AA10" s="5">
        <f>SUMIFS('4'!D:D,'4'!$A:$A,基础表!$E10,'4'!$B:$B,基础表!$F10)</f>
        <v>0.185</v>
      </c>
      <c r="AB10" s="5">
        <f>SUMIFS('4'!E:E,'4'!$A:$A,基础表!$E10,'4'!$B:$B,基础表!$F10)</f>
        <v>0.25600000000000001</v>
      </c>
      <c r="AC10" s="5">
        <f>SUMIFS('4'!F:F,'4'!$A:$A,基础表!$E10,'4'!$B:$B,基础表!$F10)</f>
        <v>0.23100000000000001</v>
      </c>
      <c r="AD10" s="5">
        <f>SUMIFS('4'!G:G,'4'!$A:$A,基础表!$E10,'4'!$B:$B,基础表!$F10)</f>
        <v>0.245</v>
      </c>
      <c r="AE10" s="5">
        <f>SUMIFS('4'!H:H,'4'!$A:$A,基础表!$E10,'4'!$B:$B,基础表!$F10)</f>
        <v>0.26700000000000002</v>
      </c>
      <c r="AF10" s="5">
        <f>SUMIFS('4'!I:I,'4'!$A:$A,基础表!$E10,'4'!$B:$B,基础表!$F10)</f>
        <v>0.27600000000000002</v>
      </c>
      <c r="AG10" s="5">
        <f>SUMIFS('4'!J:J,'4'!$A:$A,基础表!$E10,'4'!$B:$B,基础表!$F10)</f>
        <v>0</v>
      </c>
      <c r="AH10" s="143">
        <v>4.0000000000000001E-3</v>
      </c>
      <c r="AI10" s="143">
        <v>0.27200000000000002</v>
      </c>
      <c r="AJ10" s="143">
        <f t="shared" si="12"/>
        <v>0.26800000000000002</v>
      </c>
      <c r="AK10" s="6">
        <f>SUMIFS('3'!C:C,'3'!$A:$A,基础表!$E10,'3'!$B:$B,基础表!$F10)</f>
        <v>0.92643391521197005</v>
      </c>
      <c r="AL10" s="6">
        <f>SUMIFS('3'!D:D,'3'!$A:$A,基础表!$E10,'3'!$B:$B,基础表!$F10)</f>
        <v>0.96271186440677992</v>
      </c>
      <c r="AM10" s="6">
        <f>SUMIFS('3'!E:E,'3'!$A:$A,基础表!$E10,'3'!$B:$B,基础表!$F10)</f>
        <v>0.95</v>
      </c>
      <c r="AN10" s="6">
        <f>SUMIFS('3'!F:F,'3'!$A:$A,基础表!$E10,'3'!$B:$B,基础表!$F10)</f>
        <v>0.98124999999999996</v>
      </c>
      <c r="AO10" s="6">
        <f>SUMIFS('3'!G:G,'3'!$A:$A,基础表!$E10,'3'!$B:$B,基础表!$F10)</f>
        <v>0.94499999999999995</v>
      </c>
      <c r="AP10" s="6">
        <f>SUMIFS('3'!H:H,'3'!$A:$A,基础表!$E10,'3'!$B:$B,基础表!$F10)</f>
        <v>1</v>
      </c>
      <c r="AQ10" s="6">
        <f>SUMIFS('3'!I:I,'3'!$A:$A,基础表!$E10,'3'!$B:$B,基础表!$F10)</f>
        <v>0.96111111111111103</v>
      </c>
      <c r="AR10" s="6">
        <f>SUMIFS('3'!M:M,'3'!$K:$K,基础表!$E10,'3'!$L:$L,基础表!$F10)</f>
        <v>1</v>
      </c>
      <c r="AS10" s="6">
        <f>SUMIFS('3'!N:N,'3'!$K:$K,基础表!$E10,'3'!$L:$L,基础表!$F10)</f>
        <v>1</v>
      </c>
    </row>
    <row r="11" spans="1:45" x14ac:dyDescent="0.2">
      <c r="C11" s="78">
        <f>RANK(D11,$D$5:$D$34)+COUNTIF($D$5:D11,D11)-1</f>
        <v>21</v>
      </c>
      <c r="D11" s="6">
        <f t="shared" si="11"/>
        <v>0.55237847673511797</v>
      </c>
      <c r="E11" s="8" t="s">
        <v>5</v>
      </c>
      <c r="F11" s="8" t="s">
        <v>12</v>
      </c>
      <c r="G11" s="5">
        <v>1.472</v>
      </c>
      <c r="H11" s="5">
        <v>2.7810000000000001</v>
      </c>
      <c r="I11" s="5">
        <v>1.736</v>
      </c>
      <c r="J11" s="6">
        <v>-0.1785714285714286</v>
      </c>
      <c r="K11" s="6">
        <v>-0.13066583307283519</v>
      </c>
      <c r="L11" s="6">
        <v>-0.33127889060092452</v>
      </c>
      <c r="M11" s="5">
        <f>SUMIFS('2'!C:C,'2'!$A:$A,基础表!$E11,'2'!$B:$B,基础表!$F11)</f>
        <v>2.125</v>
      </c>
      <c r="N11" s="5">
        <f>SUMIFS('2'!D:D,'2'!$A:$A,基础表!$E11,'2'!$B:$B,基础表!$F11)</f>
        <v>3.3330000000000002</v>
      </c>
      <c r="O11" s="6">
        <f t="shared" si="1"/>
        <v>-0.36243624362436244</v>
      </c>
      <c r="P11" s="5">
        <f>SUMIFS('2'!F:F,'2'!$A:$A,基础表!$E11,'2'!$B:$B,基础表!$F11)</f>
        <v>3.847</v>
      </c>
      <c r="Q11" s="6">
        <f>SUMIFS('2'!G:G,'2'!$A:$A,基础表!$E11,'2'!$B:$B,基础表!$F11)</f>
        <v>0.55237847673511797</v>
      </c>
      <c r="R11" s="6">
        <f t="shared" si="2"/>
        <v>0.20141176470588235</v>
      </c>
      <c r="S11" s="6">
        <f t="shared" si="3"/>
        <v>4.1411764705882349E-2</v>
      </c>
      <c r="T11" s="6">
        <f t="shared" si="4"/>
        <v>0.17694117647058824</v>
      </c>
      <c r="U11" s="6">
        <f t="shared" si="5"/>
        <v>0.14682352941176471</v>
      </c>
      <c r="V11" s="6">
        <f t="shared" si="6"/>
        <v>9.4117647058823528E-2</v>
      </c>
      <c r="W11" s="6">
        <f t="shared" si="7"/>
        <v>0.15905882352941178</v>
      </c>
      <c r="X11" s="6">
        <f t="shared" si="8"/>
        <v>0.17270588235294118</v>
      </c>
      <c r="Y11" s="6">
        <f t="shared" si="9"/>
        <v>7.5294117647058826E-3</v>
      </c>
      <c r="Z11" s="5">
        <f>SUMIFS('4'!C:C,'4'!$A:$A,基础表!$E11,'4'!$B:$B,基础表!$F11)</f>
        <v>0.42799999999999999</v>
      </c>
      <c r="AA11" s="5">
        <f>SUMIFS('4'!D:D,'4'!$A:$A,基础表!$E11,'4'!$B:$B,基础表!$F11)</f>
        <v>8.7999999999999995E-2</v>
      </c>
      <c r="AB11" s="5">
        <f>SUMIFS('4'!E:E,'4'!$A:$A,基础表!$E11,'4'!$B:$B,基础表!$F11)</f>
        <v>0.376</v>
      </c>
      <c r="AC11" s="5">
        <f>SUMIFS('4'!F:F,'4'!$A:$A,基础表!$E11,'4'!$B:$B,基础表!$F11)</f>
        <v>0.312</v>
      </c>
      <c r="AD11" s="5">
        <f>SUMIFS('4'!G:G,'4'!$A:$A,基础表!$E11,'4'!$B:$B,基础表!$F11)</f>
        <v>0.2</v>
      </c>
      <c r="AE11" s="5">
        <f>SUMIFS('4'!H:H,'4'!$A:$A,基础表!$E11,'4'!$B:$B,基础表!$F11)</f>
        <v>0.33800000000000002</v>
      </c>
      <c r="AF11" s="5">
        <f>SUMIFS('4'!I:I,'4'!$A:$A,基础表!$E11,'4'!$B:$B,基础表!$F11)</f>
        <v>0.36699999999999999</v>
      </c>
      <c r="AG11" s="5">
        <f>SUMIFS('4'!J:J,'4'!$A:$A,基础表!$E11,'4'!$B:$B,基础表!$F11)</f>
        <v>1.6E-2</v>
      </c>
      <c r="AH11" s="143">
        <v>2.2639999999999998</v>
      </c>
      <c r="AI11" s="143">
        <v>1.5</v>
      </c>
      <c r="AJ11" s="143">
        <f t="shared" si="12"/>
        <v>-0.76399999999999979</v>
      </c>
      <c r="AK11" s="6">
        <f>SUMIFS('3'!C:C,'3'!$A:$A,基础表!$E11,'3'!$B:$B,基础表!$F11)</f>
        <v>0.26489226869455001</v>
      </c>
      <c r="AL11" s="6">
        <f>SUMIFS('3'!D:D,'3'!$A:$A,基础表!$E11,'3'!$B:$B,基础表!$F11)</f>
        <v>0.68882466281310206</v>
      </c>
      <c r="AM11" s="6">
        <f>SUMIFS('3'!E:E,'3'!$A:$A,基础表!$E11,'3'!$B:$B,基础表!$F11)</f>
        <v>0.26854802002730999</v>
      </c>
      <c r="AN11" s="6">
        <f>SUMIFS('3'!F:F,'3'!$A:$A,基础表!$E11,'3'!$B:$B,基础表!$F11)</f>
        <v>0.39384615384615401</v>
      </c>
      <c r="AO11" s="6">
        <f>SUMIFS('3'!G:G,'3'!$A:$A,基础表!$E11,'3'!$B:$B,基础表!$F11)</f>
        <v>0.29024081115335898</v>
      </c>
      <c r="AP11" s="6">
        <f>SUMIFS('3'!H:H,'3'!$A:$A,基础表!$E11,'3'!$B:$B,基础表!$F11)</f>
        <v>0.45846153846153798</v>
      </c>
      <c r="AQ11" s="6">
        <f>SUMIFS('3'!I:I,'3'!$A:$A,基础表!$E11,'3'!$B:$B,基础表!$F11)</f>
        <v>0.47701411015020495</v>
      </c>
      <c r="AR11" s="6">
        <f>SUMIFS('3'!M:M,'3'!$K:$K,基础表!$E11,'3'!$L:$L,基础表!$F11)</f>
        <v>1</v>
      </c>
      <c r="AS11" s="6">
        <f>SUMIFS('3'!N:N,'3'!$K:$K,基础表!$E11,'3'!$L:$L,基础表!$F11)</f>
        <v>1</v>
      </c>
    </row>
    <row r="12" spans="1:45" s="83" customFormat="1" x14ac:dyDescent="0.2">
      <c r="A12" s="83">
        <f>RANK(B12,$B$12:$B$34)</f>
        <v>1</v>
      </c>
      <c r="B12" s="84">
        <f>Q12</f>
        <v>0.80467948717948701</v>
      </c>
      <c r="C12" s="85"/>
      <c r="E12" s="86" t="s">
        <v>5</v>
      </c>
      <c r="F12" s="86" t="s">
        <v>4</v>
      </c>
      <c r="G12" s="87">
        <v>7.4180000000000001</v>
      </c>
      <c r="H12" s="87">
        <v>13.180999999999999</v>
      </c>
      <c r="I12" s="87">
        <v>9.8710000000000004</v>
      </c>
      <c r="J12" s="88">
        <v>-0.12636909669061358</v>
      </c>
      <c r="K12" s="88">
        <v>8.9068825910931126E-2</v>
      </c>
      <c r="L12" s="88">
        <v>1.6371499176276894E-2</v>
      </c>
      <c r="M12" s="87">
        <f>SUMIFS('2'!C:C,'2'!$A:$A,基础表!$E12,'2'!$B:$B,基础表!$F12)</f>
        <v>12.553000000000001</v>
      </c>
      <c r="N12" s="87">
        <f>SUMIFS('2'!D:D,'2'!$A:$A,基础表!$E12,'2'!$B:$B,基础表!$F12)</f>
        <v>13.695</v>
      </c>
      <c r="O12" s="88">
        <f t="shared" si="1"/>
        <v>-8.3388097845929154E-2</v>
      </c>
      <c r="P12" s="87">
        <f>SUMIFS('2'!F:F,'2'!$A:$A,基础表!$E12,'2'!$B:$B,基础表!$F12)</f>
        <v>15.6</v>
      </c>
      <c r="Q12" s="88">
        <f>SUMIFS('2'!G:G,'2'!$A:$A,基础表!$E12,'2'!$B:$B,基础表!$F12)</f>
        <v>0.80467948717948701</v>
      </c>
      <c r="R12" s="88">
        <f t="shared" si="2"/>
        <v>0.10626941766908309</v>
      </c>
      <c r="S12" s="88">
        <f t="shared" si="3"/>
        <v>6.8111208476061488E-2</v>
      </c>
      <c r="T12" s="88">
        <f t="shared" si="4"/>
        <v>0.14426830239783317</v>
      </c>
      <c r="U12" s="88">
        <f t="shared" si="5"/>
        <v>9.3364136063092476E-2</v>
      </c>
      <c r="V12" s="88">
        <f t="shared" si="6"/>
        <v>0.23213574444355931</v>
      </c>
      <c r="W12" s="88">
        <f t="shared" si="7"/>
        <v>0.13311558989882896</v>
      </c>
      <c r="X12" s="88">
        <f t="shared" si="8"/>
        <v>0.10117103481239544</v>
      </c>
      <c r="Y12" s="88">
        <f t="shared" si="9"/>
        <v>0.12156456623914602</v>
      </c>
      <c r="Z12" s="87">
        <f>SUMIFS('4'!C:C,'4'!$A:$A,基础表!$E12,'4'!$B:$B,基础表!$F12)</f>
        <v>1.3340000000000001</v>
      </c>
      <c r="AA12" s="87">
        <f>SUMIFS('4'!D:D,'4'!$A:$A,基础表!$E12,'4'!$B:$B,基础表!$F12)</f>
        <v>0.85499999999999998</v>
      </c>
      <c r="AB12" s="87">
        <f>SUMIFS('4'!E:E,'4'!$A:$A,基础表!$E12,'4'!$B:$B,基础表!$F12)</f>
        <v>1.8109999999999999</v>
      </c>
      <c r="AC12" s="87">
        <f>SUMIFS('4'!F:F,'4'!$A:$A,基础表!$E12,'4'!$B:$B,基础表!$F12)</f>
        <v>1.1719999999999999</v>
      </c>
      <c r="AD12" s="87">
        <f>SUMIFS('4'!G:G,'4'!$A:$A,基础表!$E12,'4'!$B:$B,基础表!$F12)</f>
        <v>2.9140000000000001</v>
      </c>
      <c r="AE12" s="87">
        <f>SUMIFS('4'!H:H,'4'!$A:$A,基础表!$E12,'4'!$B:$B,基础表!$F12)</f>
        <v>1.671</v>
      </c>
      <c r="AF12" s="87">
        <f>SUMIFS('4'!I:I,'4'!$A:$A,基础表!$E12,'4'!$B:$B,基础表!$F12)</f>
        <v>1.27</v>
      </c>
      <c r="AG12" s="87">
        <f>SUMIFS('4'!J:J,'4'!$A:$A,基础表!$E12,'4'!$B:$B,基础表!$F12)</f>
        <v>1.526</v>
      </c>
      <c r="AH12" s="144">
        <v>5.52</v>
      </c>
      <c r="AI12" s="144">
        <f>SUM(AI5:AI11)</f>
        <v>4.6609999999999996</v>
      </c>
      <c r="AJ12" s="144">
        <f t="shared" si="12"/>
        <v>-0.85899999999999999</v>
      </c>
      <c r="AK12" s="88">
        <f>SUMIFS('3'!C:C,'3'!$A:$A,基础表!$E12,'3'!$B:$B,基础表!$F12)</f>
        <v>0.68914362778152394</v>
      </c>
      <c r="AL12" s="88">
        <f>SUMIFS('3'!D:D,'3'!$A:$A,基础表!$E12,'3'!$B:$B,基础表!$F12)</f>
        <v>0.88612786489746698</v>
      </c>
      <c r="AM12" s="88">
        <f>SUMIFS('3'!E:E,'3'!$A:$A,基础表!$E12,'3'!$B:$B,基础表!$F12)</f>
        <v>0.69594670881788401</v>
      </c>
      <c r="AN12" s="88">
        <f>SUMIFS('3'!F:F,'3'!$A:$A,基础表!$E12,'3'!$B:$B,基础表!$F12)</f>
        <v>0.78529411764705903</v>
      </c>
      <c r="AO12" s="88">
        <f>SUMIFS('3'!G:G,'3'!$A:$A,基础表!$E12,'3'!$B:$B,基础表!$F12)</f>
        <v>0.70954637779282292</v>
      </c>
      <c r="AP12" s="88">
        <f>SUMIFS('3'!H:H,'3'!$A:$A,基础表!$E12,'3'!$B:$B,基础表!$F12)</f>
        <v>0.79819954988747199</v>
      </c>
      <c r="AQ12" s="88">
        <f>SUMIFS('3'!I:I,'3'!$A:$A,基础表!$E12,'3'!$B:$B,基础表!$F12)</f>
        <v>0.78062549395958003</v>
      </c>
      <c r="AR12" s="88">
        <f>SUMIFS('3'!M:M,'3'!$K:$K,基础表!$E12,'3'!$L:$L,基础表!$F12)</f>
        <v>0.97324414715719099</v>
      </c>
      <c r="AS12" s="88">
        <f>SUMIFS('3'!N:N,'3'!$K:$K,基础表!$E12,'3'!$L:$L,基础表!$F12)</f>
        <v>0.98662207357859499</v>
      </c>
    </row>
    <row r="13" spans="1:45" x14ac:dyDescent="0.2">
      <c r="C13" s="78">
        <f>RANK(D13,$D$5:$D$34)+COUNTIF($D$5:D13,D13)-1</f>
        <v>24</v>
      </c>
      <c r="D13" s="6">
        <f t="shared" ref="D13:D19" si="13">Q13</f>
        <v>0.45766129032258102</v>
      </c>
      <c r="E13" s="8" t="s">
        <v>14</v>
      </c>
      <c r="F13" s="8" t="s">
        <v>15</v>
      </c>
      <c r="G13" s="5">
        <v>0.24</v>
      </c>
      <c r="H13" s="5">
        <v>0.64500000000000002</v>
      </c>
      <c r="I13" s="5">
        <v>0.38800000000000001</v>
      </c>
      <c r="J13" s="6">
        <v>-0.323943661971831</v>
      </c>
      <c r="K13" s="6">
        <v>-0.30420711974110037</v>
      </c>
      <c r="L13" s="6">
        <v>-3.7220843672456594E-2</v>
      </c>
      <c r="M13" s="5">
        <f>SUMIFS('2'!C:C,'2'!$A:$A,基础表!$E13,'2'!$B:$B,基础表!$F13)</f>
        <v>0.22700000000000001</v>
      </c>
      <c r="N13" s="5">
        <f>SUMIFS('2'!D:D,'2'!$A:$A,基础表!$E13,'2'!$B:$B,基础表!$F13)</f>
        <v>0.501</v>
      </c>
      <c r="O13" s="6">
        <f t="shared" ref="O13:O20" si="14">M13/N13-1</f>
        <v>-0.54690618762475052</v>
      </c>
      <c r="P13" s="5">
        <f>SUMIFS('2'!F:F,'2'!$A:$A,基础表!$E13,'2'!$B:$B,基础表!$F13)</f>
        <v>0.496</v>
      </c>
      <c r="Q13" s="6">
        <f>SUMIFS('2'!G:G,'2'!$A:$A,基础表!$E13,'2'!$B:$B,基础表!$F13)</f>
        <v>0.45766129032258102</v>
      </c>
      <c r="R13" s="6">
        <f t="shared" si="2"/>
        <v>0.26431718061674009</v>
      </c>
      <c r="S13" s="6">
        <f t="shared" si="3"/>
        <v>9.2511013215859028E-2</v>
      </c>
      <c r="T13" s="6">
        <f t="shared" si="4"/>
        <v>5.7268722466960346E-2</v>
      </c>
      <c r="U13" s="6">
        <f t="shared" si="5"/>
        <v>6.6079295154185022E-2</v>
      </c>
      <c r="V13" s="6">
        <f t="shared" si="6"/>
        <v>9.2511013215859028E-2</v>
      </c>
      <c r="W13" s="6">
        <f t="shared" si="7"/>
        <v>0.33039647577092507</v>
      </c>
      <c r="X13" s="6">
        <f t="shared" si="8"/>
        <v>9.6916299559471356E-2</v>
      </c>
      <c r="Y13" s="6">
        <f t="shared" si="9"/>
        <v>0</v>
      </c>
      <c r="Z13" s="5">
        <f>SUMIFS('4'!C:C,'4'!$A:$A,基础表!$E13,'4'!$B:$B,基础表!$F13)</f>
        <v>0.06</v>
      </c>
      <c r="AA13" s="5">
        <f>SUMIFS('4'!D:D,'4'!$A:$A,基础表!$E13,'4'!$B:$B,基础表!$F13)</f>
        <v>2.1000000000000001E-2</v>
      </c>
      <c r="AB13" s="5">
        <f>SUMIFS('4'!E:E,'4'!$A:$A,基础表!$E13,'4'!$B:$B,基础表!$F13)</f>
        <v>1.2999999999999999E-2</v>
      </c>
      <c r="AC13" s="5">
        <f>SUMIFS('4'!F:F,'4'!$A:$A,基础表!$E13,'4'!$B:$B,基础表!$F13)</f>
        <v>1.4999999999999999E-2</v>
      </c>
      <c r="AD13" s="5">
        <f>SUMIFS('4'!G:G,'4'!$A:$A,基础表!$E13,'4'!$B:$B,基础表!$F13)</f>
        <v>2.1000000000000001E-2</v>
      </c>
      <c r="AE13" s="5">
        <f>SUMIFS('4'!H:H,'4'!$A:$A,基础表!$E13,'4'!$B:$B,基础表!$F13)</f>
        <v>7.4999999999999997E-2</v>
      </c>
      <c r="AF13" s="5">
        <f>SUMIFS('4'!I:I,'4'!$A:$A,基础表!$E13,'4'!$B:$B,基础表!$F13)</f>
        <v>2.1999999999999999E-2</v>
      </c>
      <c r="AG13" s="5">
        <f>SUMIFS('4'!J:J,'4'!$A:$A,基础表!$E13,'4'!$B:$B,基础表!$F13)</f>
        <v>0</v>
      </c>
      <c r="AH13" s="143">
        <v>0.45300000000000001</v>
      </c>
      <c r="AI13" s="143">
        <v>0.497</v>
      </c>
      <c r="AJ13" s="143">
        <f t="shared" si="12"/>
        <v>4.3999999999999984E-2</v>
      </c>
      <c r="AK13" s="6">
        <f>SUMIFS('3'!C:C,'3'!$A:$A,基础表!$E13,'3'!$B:$B,基础表!$F13)</f>
        <v>0.24313725490196098</v>
      </c>
      <c r="AL13" s="6">
        <f>SUMIFS('3'!D:D,'3'!$A:$A,基础表!$E13,'3'!$B:$B,基础表!$F13)</f>
        <v>0.93920972644376899</v>
      </c>
      <c r="AM13" s="6">
        <f>SUMIFS('3'!E:E,'3'!$A:$A,基础表!$E13,'3'!$B:$B,基础表!$F13)</f>
        <v>0.22762951334379899</v>
      </c>
      <c r="AN13" s="6">
        <f>SUMIFS('3'!F:F,'3'!$A:$A,基础表!$E13,'3'!$B:$B,基础表!$F13)</f>
        <v>0.52542372881355903</v>
      </c>
      <c r="AO13" s="6">
        <f>SUMIFS('3'!G:G,'3'!$A:$A,基础表!$E13,'3'!$B:$B,基础表!$F13)</f>
        <v>0.23913043478260898</v>
      </c>
      <c r="AP13" s="6">
        <f>SUMIFS('3'!H:H,'3'!$A:$A,基础表!$E13,'3'!$B:$B,基础表!$F13)</f>
        <v>0.47457627118644097</v>
      </c>
      <c r="AQ13" s="6">
        <f>SUMIFS('3'!I:I,'3'!$A:$A,基础表!$E13,'3'!$B:$B,基础表!$F13)</f>
        <v>0.59811616954474101</v>
      </c>
      <c r="AR13" s="6">
        <f>SUMIFS('3'!M:M,'3'!$K:$K,基础表!$E13,'3'!$L:$L,基础表!$F13)</f>
        <v>0.95</v>
      </c>
      <c r="AS13" s="6">
        <f>SUMIFS('3'!N:N,'3'!$K:$K,基础表!$E13,'3'!$L:$L,基础表!$F13)</f>
        <v>0.95</v>
      </c>
    </row>
    <row r="14" spans="1:45" x14ac:dyDescent="0.2">
      <c r="C14" s="78">
        <f>RANK(D14,$D$5:$D$34)+COUNTIF($D$5:D14,D14)-1</f>
        <v>19</v>
      </c>
      <c r="D14" s="6">
        <f t="shared" si="13"/>
        <v>0.59595070422535201</v>
      </c>
      <c r="E14" s="8" t="s">
        <v>14</v>
      </c>
      <c r="F14" s="8" t="s">
        <v>16</v>
      </c>
      <c r="G14" s="5">
        <v>0.83299999999999996</v>
      </c>
      <c r="H14" s="5">
        <v>0.93700000000000006</v>
      </c>
      <c r="I14" s="5">
        <v>1.06</v>
      </c>
      <c r="J14" s="6">
        <v>-2.2300469483568119E-2</v>
      </c>
      <c r="K14" s="6">
        <v>-2.1920668058455051E-2</v>
      </c>
      <c r="L14" s="6">
        <v>-4.8473967684021568E-2</v>
      </c>
      <c r="M14" s="5">
        <f>SUMIFS('2'!C:C,'2'!$A:$A,基础表!$E14,'2'!$B:$B,基础表!$F14)</f>
        <v>0.67700000000000005</v>
      </c>
      <c r="N14" s="5">
        <f>SUMIFS('2'!D:D,'2'!$A:$A,基础表!$E14,'2'!$B:$B,基础表!$F14)</f>
        <v>1.05</v>
      </c>
      <c r="O14" s="6">
        <f t="shared" si="14"/>
        <v>-0.35523809523809524</v>
      </c>
      <c r="P14" s="5">
        <f>SUMIFS('2'!F:F,'2'!$A:$A,基础表!$E14,'2'!$B:$B,基础表!$F14)</f>
        <v>1.1359999999999999</v>
      </c>
      <c r="Q14" s="6">
        <f>SUMIFS('2'!G:G,'2'!$A:$A,基础表!$E14,'2'!$B:$B,基础表!$F14)</f>
        <v>0.59595070422535201</v>
      </c>
      <c r="R14" s="6">
        <f t="shared" si="2"/>
        <v>0.25849335302806498</v>
      </c>
      <c r="S14" s="6">
        <f t="shared" si="3"/>
        <v>9.4534711964549475E-2</v>
      </c>
      <c r="T14" s="6">
        <f t="shared" si="4"/>
        <v>6.7946824224519933E-2</v>
      </c>
      <c r="U14" s="6">
        <f t="shared" si="5"/>
        <v>6.9423929098966025E-2</v>
      </c>
      <c r="V14" s="6">
        <f t="shared" si="6"/>
        <v>0.16248153618906941</v>
      </c>
      <c r="W14" s="6">
        <f t="shared" si="7"/>
        <v>0.11078286558345642</v>
      </c>
      <c r="X14" s="6">
        <f t="shared" si="8"/>
        <v>0.2363367799113737</v>
      </c>
      <c r="Y14" s="6">
        <f t="shared" si="9"/>
        <v>0</v>
      </c>
      <c r="Z14" s="5">
        <f>SUMIFS('4'!C:C,'4'!$A:$A,基础表!$E14,'4'!$B:$B,基础表!$F14)</f>
        <v>0.17499999999999999</v>
      </c>
      <c r="AA14" s="5">
        <f>SUMIFS('4'!D:D,'4'!$A:$A,基础表!$E14,'4'!$B:$B,基础表!$F14)</f>
        <v>6.4000000000000001E-2</v>
      </c>
      <c r="AB14" s="5">
        <f>SUMIFS('4'!E:E,'4'!$A:$A,基础表!$E14,'4'!$B:$B,基础表!$F14)</f>
        <v>4.5999999999999999E-2</v>
      </c>
      <c r="AC14" s="5">
        <f>SUMIFS('4'!F:F,'4'!$A:$A,基础表!$E14,'4'!$B:$B,基础表!$F14)</f>
        <v>4.7E-2</v>
      </c>
      <c r="AD14" s="5">
        <f>SUMIFS('4'!G:G,'4'!$A:$A,基础表!$E14,'4'!$B:$B,基础表!$F14)</f>
        <v>0.11</v>
      </c>
      <c r="AE14" s="5">
        <f>SUMIFS('4'!H:H,'4'!$A:$A,基础表!$E14,'4'!$B:$B,基础表!$F14)</f>
        <v>7.4999999999999997E-2</v>
      </c>
      <c r="AF14" s="5">
        <f>SUMIFS('4'!I:I,'4'!$A:$A,基础表!$E14,'4'!$B:$B,基础表!$F14)</f>
        <v>0.16</v>
      </c>
      <c r="AG14" s="5">
        <f>SUMIFS('4'!J:J,'4'!$A:$A,基础表!$E14,'4'!$B:$B,基础表!$F14)</f>
        <v>0</v>
      </c>
      <c r="AH14" s="143">
        <v>1.393</v>
      </c>
      <c r="AI14" s="143">
        <v>1.246</v>
      </c>
      <c r="AJ14" s="143">
        <f t="shared" si="12"/>
        <v>-0.14700000000000002</v>
      </c>
      <c r="AK14" s="6">
        <f>SUMIFS('3'!C:C,'3'!$A:$A,基础表!$E14,'3'!$B:$B,基础表!$F14)</f>
        <v>0.259433962264151</v>
      </c>
      <c r="AL14" s="6">
        <f>SUMIFS('3'!D:D,'3'!$A:$A,基础表!$E14,'3'!$B:$B,基础表!$F14)</f>
        <v>0.87211740041928709</v>
      </c>
      <c r="AM14" s="6">
        <f>SUMIFS('3'!E:E,'3'!$A:$A,基础表!$E14,'3'!$B:$B,基础表!$F14)</f>
        <v>0.28488372093023301</v>
      </c>
      <c r="AN14" s="6">
        <f>SUMIFS('3'!F:F,'3'!$A:$A,基础表!$E14,'3'!$B:$B,基础表!$F14)</f>
        <v>0.47222222222222199</v>
      </c>
      <c r="AO14" s="6">
        <f>SUMIFS('3'!G:G,'3'!$A:$A,基础表!$E14,'3'!$B:$B,基础表!$F14)</f>
        <v>0.29976303317535502</v>
      </c>
      <c r="AP14" s="6">
        <f>SUMIFS('3'!H:H,'3'!$A:$A,基础表!$E14,'3'!$B:$B,基础表!$F14)</f>
        <v>0.40186915887850505</v>
      </c>
      <c r="AQ14" s="6">
        <f>SUMIFS('3'!I:I,'3'!$A:$A,基础表!$E14,'3'!$B:$B,基础表!$F14)</f>
        <v>0.558970099667774</v>
      </c>
      <c r="AR14" s="6">
        <f>SUMIFS('3'!M:M,'3'!$K:$K,基础表!$E14,'3'!$L:$L,基础表!$F14)</f>
        <v>1</v>
      </c>
      <c r="AS14" s="6">
        <f>SUMIFS('3'!N:N,'3'!$K:$K,基础表!$E14,'3'!$L:$L,基础表!$F14)</f>
        <v>1</v>
      </c>
    </row>
    <row r="15" spans="1:45" x14ac:dyDescent="0.2">
      <c r="C15" s="78">
        <f>RANK(D15,$D$5:$D$34)+COUNTIF($D$5:D15,D15)-1</f>
        <v>20</v>
      </c>
      <c r="D15" s="6">
        <f t="shared" si="13"/>
        <v>0.56851311953352801</v>
      </c>
      <c r="E15" s="8" t="s">
        <v>14</v>
      </c>
      <c r="F15" s="8" t="s">
        <v>17</v>
      </c>
      <c r="G15" s="5">
        <v>0.52700000000000002</v>
      </c>
      <c r="H15" s="5">
        <v>0.91400000000000003</v>
      </c>
      <c r="I15" s="5">
        <v>0.42299999999999999</v>
      </c>
      <c r="J15" s="6">
        <v>-0.18547140649149918</v>
      </c>
      <c r="K15" s="6">
        <v>-4.3572984749455923E-3</v>
      </c>
      <c r="L15" s="6">
        <v>-0.21811460258780047</v>
      </c>
      <c r="M15" s="5">
        <f>SUMIFS('2'!C:C,'2'!$A:$A,基础表!$E15,'2'!$B:$B,基础表!$F15)</f>
        <v>0.39</v>
      </c>
      <c r="N15" s="5">
        <f>SUMIFS('2'!D:D,'2'!$A:$A,基础表!$E15,'2'!$B:$B,基础表!$F15)</f>
        <v>0.72799999999999998</v>
      </c>
      <c r="O15" s="6">
        <f t="shared" si="14"/>
        <v>-0.4642857142857143</v>
      </c>
      <c r="P15" s="5">
        <f>SUMIFS('2'!F:F,'2'!$A:$A,基础表!$E15,'2'!$B:$B,基础表!$F15)</f>
        <v>0.68600000000000005</v>
      </c>
      <c r="Q15" s="6">
        <f>SUMIFS('2'!G:G,'2'!$A:$A,基础表!$E15,'2'!$B:$B,基础表!$F15)</f>
        <v>0.56851311953352801</v>
      </c>
      <c r="R15" s="6">
        <f t="shared" si="2"/>
        <v>0.30769230769230765</v>
      </c>
      <c r="S15" s="6">
        <f t="shared" si="3"/>
        <v>9.7435897435897437E-2</v>
      </c>
      <c r="T15" s="6">
        <f t="shared" si="4"/>
        <v>0.11538461538461538</v>
      </c>
      <c r="U15" s="6">
        <f t="shared" si="5"/>
        <v>8.9743589743589744E-2</v>
      </c>
      <c r="V15" s="6">
        <f t="shared" si="6"/>
        <v>8.461538461538462E-2</v>
      </c>
      <c r="W15" s="6">
        <f t="shared" si="7"/>
        <v>0.24102564102564103</v>
      </c>
      <c r="X15" s="6">
        <f t="shared" si="8"/>
        <v>6.4102564102564111E-2</v>
      </c>
      <c r="Y15" s="6">
        <f t="shared" si="9"/>
        <v>0</v>
      </c>
      <c r="Z15" s="5">
        <f>SUMIFS('4'!C:C,'4'!$A:$A,基础表!$E15,'4'!$B:$B,基础表!$F15)</f>
        <v>0.12</v>
      </c>
      <c r="AA15" s="5">
        <f>SUMIFS('4'!D:D,'4'!$A:$A,基础表!$E15,'4'!$B:$B,基础表!$F15)</f>
        <v>3.7999999999999999E-2</v>
      </c>
      <c r="AB15" s="5">
        <f>SUMIFS('4'!E:E,'4'!$A:$A,基础表!$E15,'4'!$B:$B,基础表!$F15)</f>
        <v>4.4999999999999998E-2</v>
      </c>
      <c r="AC15" s="5">
        <f>SUMIFS('4'!F:F,'4'!$A:$A,基础表!$E15,'4'!$B:$B,基础表!$F15)</f>
        <v>3.5000000000000003E-2</v>
      </c>
      <c r="AD15" s="5">
        <f>SUMIFS('4'!G:G,'4'!$A:$A,基础表!$E15,'4'!$B:$B,基础表!$F15)</f>
        <v>3.3000000000000002E-2</v>
      </c>
      <c r="AE15" s="5">
        <f>SUMIFS('4'!H:H,'4'!$A:$A,基础表!$E15,'4'!$B:$B,基础表!$F15)</f>
        <v>9.4E-2</v>
      </c>
      <c r="AF15" s="5">
        <f>SUMIFS('4'!I:I,'4'!$A:$A,基础表!$E15,'4'!$B:$B,基础表!$F15)</f>
        <v>2.5000000000000001E-2</v>
      </c>
      <c r="AG15" s="5">
        <f>SUMIFS('4'!J:J,'4'!$A:$A,基础表!$E15,'4'!$B:$B,基础表!$F15)</f>
        <v>0</v>
      </c>
      <c r="AH15" s="143">
        <v>1.1910000000000001</v>
      </c>
      <c r="AI15" s="143">
        <v>0.95899999999999996</v>
      </c>
      <c r="AJ15" s="143">
        <f t="shared" si="12"/>
        <v>-0.2320000000000001</v>
      </c>
      <c r="AK15" s="6">
        <f>SUMIFS('3'!C:C,'3'!$A:$A,基础表!$E15,'3'!$B:$B,基础表!$F15)</f>
        <v>8.1210191082802488E-2</v>
      </c>
      <c r="AL15" s="6">
        <f>SUMIFS('3'!D:D,'3'!$A:$A,基础表!$E15,'3'!$B:$B,基础表!$F15)</f>
        <v>0.60373443983402497</v>
      </c>
      <c r="AM15" s="6">
        <f>SUMIFS('3'!E:E,'3'!$A:$A,基础表!$E15,'3'!$B:$B,基础表!$F15)</f>
        <v>0.104989604989605</v>
      </c>
      <c r="AN15" s="6">
        <f>SUMIFS('3'!F:F,'3'!$A:$A,基础表!$E15,'3'!$B:$B,基础表!$F15)</f>
        <v>0.37190082644628097</v>
      </c>
      <c r="AO15" s="6">
        <f>SUMIFS('3'!G:G,'3'!$A:$A,基础表!$E15,'3'!$B:$B,基础表!$F15)</f>
        <v>0.17666126418152298</v>
      </c>
      <c r="AP15" s="6">
        <f>SUMIFS('3'!H:H,'3'!$A:$A,基础表!$E15,'3'!$B:$B,基础表!$F15)</f>
        <v>0.16806722689075598</v>
      </c>
      <c r="AQ15" s="6">
        <f>SUMIFS('3'!I:I,'3'!$A:$A,基础表!$E15,'3'!$B:$B,基础表!$F15)</f>
        <v>0.38773388773388801</v>
      </c>
      <c r="AR15" s="6">
        <f>SUMIFS('3'!M:M,'3'!$K:$K,基础表!$E15,'3'!$L:$L,基础表!$F15)</f>
        <v>0.72881355932203407</v>
      </c>
      <c r="AS15" s="6">
        <f>SUMIFS('3'!N:N,'3'!$K:$K,基础表!$E15,'3'!$L:$L,基础表!$F15)</f>
        <v>1</v>
      </c>
    </row>
    <row r="16" spans="1:45" x14ac:dyDescent="0.2">
      <c r="C16" s="78">
        <f>RANK(D16,$D$5:$D$34)+COUNTIF($D$5:D16,D16)-1</f>
        <v>7</v>
      </c>
      <c r="D16" s="6">
        <f t="shared" si="13"/>
        <v>0.85963213939980609</v>
      </c>
      <c r="E16" s="8" t="s">
        <v>14</v>
      </c>
      <c r="F16" s="8" t="s">
        <v>18</v>
      </c>
      <c r="G16" s="5">
        <v>1.6</v>
      </c>
      <c r="H16" s="5">
        <v>2.0699999999999998</v>
      </c>
      <c r="I16" s="5">
        <v>1.736</v>
      </c>
      <c r="J16" s="6">
        <v>-5.0445103857566731E-2</v>
      </c>
      <c r="K16" s="6">
        <v>-1.8957345971563955E-2</v>
      </c>
      <c r="L16" s="6">
        <v>-4.8245614035087758E-2</v>
      </c>
      <c r="M16" s="5">
        <f>SUMIFS('2'!C:C,'2'!$A:$A,基础表!$E16,'2'!$B:$B,基础表!$F16)</f>
        <v>1.776</v>
      </c>
      <c r="N16" s="5">
        <f>SUMIFS('2'!D:D,'2'!$A:$A,基础表!$E16,'2'!$B:$B,基础表!$F16)</f>
        <v>2.2919999999999998</v>
      </c>
      <c r="O16" s="6">
        <f t="shared" si="14"/>
        <v>-0.22513089005235598</v>
      </c>
      <c r="P16" s="5">
        <f>SUMIFS('2'!F:F,'2'!$A:$A,基础表!$E16,'2'!$B:$B,基础表!$F16)</f>
        <v>2.0659999999999998</v>
      </c>
      <c r="Q16" s="6">
        <f>SUMIFS('2'!G:G,'2'!$A:$A,基础表!$E16,'2'!$B:$B,基础表!$F16)</f>
        <v>0.85963213939980609</v>
      </c>
      <c r="R16" s="6">
        <f t="shared" si="2"/>
        <v>0.12105855855855856</v>
      </c>
      <c r="S16" s="6">
        <f t="shared" si="3"/>
        <v>0.12894144144144146</v>
      </c>
      <c r="T16" s="6">
        <f t="shared" si="4"/>
        <v>0.16722972972972971</v>
      </c>
      <c r="U16" s="6">
        <f t="shared" si="5"/>
        <v>0.14301801801801803</v>
      </c>
      <c r="V16" s="6">
        <f t="shared" si="6"/>
        <v>0.13626126126126126</v>
      </c>
      <c r="W16" s="6">
        <f t="shared" si="7"/>
        <v>0.15371621621621623</v>
      </c>
      <c r="X16" s="6">
        <f t="shared" si="8"/>
        <v>0.14977477477477477</v>
      </c>
      <c r="Y16" s="6">
        <f t="shared" si="9"/>
        <v>0</v>
      </c>
      <c r="Z16" s="5">
        <f>SUMIFS('4'!C:C,'4'!$A:$A,基础表!$E16,'4'!$B:$B,基础表!$F16)</f>
        <v>0.215</v>
      </c>
      <c r="AA16" s="5">
        <f>SUMIFS('4'!D:D,'4'!$A:$A,基础表!$E16,'4'!$B:$B,基础表!$F16)</f>
        <v>0.22900000000000001</v>
      </c>
      <c r="AB16" s="5">
        <f>SUMIFS('4'!E:E,'4'!$A:$A,基础表!$E16,'4'!$B:$B,基础表!$F16)</f>
        <v>0.29699999999999999</v>
      </c>
      <c r="AC16" s="5">
        <f>SUMIFS('4'!F:F,'4'!$A:$A,基础表!$E16,'4'!$B:$B,基础表!$F16)</f>
        <v>0.254</v>
      </c>
      <c r="AD16" s="5">
        <f>SUMIFS('4'!G:G,'4'!$A:$A,基础表!$E16,'4'!$B:$B,基础表!$F16)</f>
        <v>0.24199999999999999</v>
      </c>
      <c r="AE16" s="5">
        <f>SUMIFS('4'!H:H,'4'!$A:$A,基础表!$E16,'4'!$B:$B,基础表!$F16)</f>
        <v>0.27300000000000002</v>
      </c>
      <c r="AF16" s="5">
        <f>SUMIFS('4'!I:I,'4'!$A:$A,基础表!$E16,'4'!$B:$B,基础表!$F16)</f>
        <v>0.26600000000000001</v>
      </c>
      <c r="AG16" s="5">
        <f>SUMIFS('4'!J:J,'4'!$A:$A,基础表!$E16,'4'!$B:$B,基础表!$F16)</f>
        <v>0</v>
      </c>
      <c r="AH16" s="143">
        <v>1.488</v>
      </c>
      <c r="AI16" s="143">
        <v>1.4384999999999999</v>
      </c>
      <c r="AJ16" s="143">
        <f t="shared" si="12"/>
        <v>-4.9500000000000099E-2</v>
      </c>
      <c r="AK16" s="6">
        <f>SUMIFS('3'!C:C,'3'!$A:$A,基础表!$E16,'3'!$B:$B,基础表!$F16)</f>
        <v>0.49433106575963698</v>
      </c>
      <c r="AL16" s="6">
        <f>SUMIFS('3'!D:D,'3'!$A:$A,基础表!$E16,'3'!$B:$B,基础表!$F16)</f>
        <v>0.82903225806451597</v>
      </c>
      <c r="AM16" s="6">
        <f>SUMIFS('3'!E:E,'3'!$A:$A,基础表!$E16,'3'!$B:$B,基础表!$F16)</f>
        <v>0.65261140392908501</v>
      </c>
      <c r="AN16" s="6">
        <f>SUMIFS('3'!F:F,'3'!$A:$A,基础表!$E16,'3'!$B:$B,基础表!$F16)</f>
        <v>0.64166666666666705</v>
      </c>
      <c r="AO16" s="6">
        <f>SUMIFS('3'!G:G,'3'!$A:$A,基础表!$E16,'3'!$B:$B,基础表!$F16)</f>
        <v>0.56793893129771</v>
      </c>
      <c r="AP16" s="6">
        <f>SUMIFS('3'!H:H,'3'!$A:$A,基础表!$E16,'3'!$B:$B,基础表!$F16)</f>
        <v>0.53389830508474601</v>
      </c>
      <c r="AQ16" s="6">
        <f>SUMIFS('3'!I:I,'3'!$A:$A,基础表!$E16,'3'!$B:$B,基础表!$F16)</f>
        <v>0.77192141830378502</v>
      </c>
      <c r="AR16" s="6">
        <f>SUMIFS('3'!M:M,'3'!$K:$K,基础表!$E16,'3'!$L:$L,基础表!$F16)</f>
        <v>0.90163934426229497</v>
      </c>
      <c r="AS16" s="6">
        <f>SUMIFS('3'!N:N,'3'!$K:$K,基础表!$E16,'3'!$L:$L,基础表!$F16)</f>
        <v>1</v>
      </c>
    </row>
    <row r="17" spans="1:45" x14ac:dyDescent="0.2">
      <c r="C17" s="78">
        <f>RANK(D17,$D$5:$D$34)+COUNTIF($D$5:D17,D17)-1</f>
        <v>6</v>
      </c>
      <c r="D17" s="6">
        <f t="shared" si="13"/>
        <v>0.86012364760432802</v>
      </c>
      <c r="E17" s="8" t="s">
        <v>14</v>
      </c>
      <c r="F17" s="8" t="s">
        <v>19</v>
      </c>
      <c r="G17" s="5">
        <v>1.9</v>
      </c>
      <c r="H17" s="5">
        <v>2.6869999999999998</v>
      </c>
      <c r="I17" s="5">
        <v>1.742</v>
      </c>
      <c r="J17" s="6">
        <v>-3.8947900859888862E-2</v>
      </c>
      <c r="K17" s="6">
        <v>2.7140672782874464E-2</v>
      </c>
      <c r="L17" s="6">
        <v>6.9364161849712058E-3</v>
      </c>
      <c r="M17" s="5">
        <f>SUMIFS('2'!C:C,'2'!$A:$A,基础表!$E17,'2'!$B:$B,基础表!$F17)</f>
        <v>2.226</v>
      </c>
      <c r="N17" s="5">
        <f>SUMIFS('2'!D:D,'2'!$A:$A,基础表!$E17,'2'!$B:$B,基础表!$F17)</f>
        <v>2.7389999999999999</v>
      </c>
      <c r="O17" s="6">
        <f t="shared" si="14"/>
        <v>-0.18729463307776562</v>
      </c>
      <c r="P17" s="5">
        <f>SUMIFS('2'!F:F,'2'!$A:$A,基础表!$E17,'2'!$B:$B,基础表!$F17)</f>
        <v>2.5880000000000001</v>
      </c>
      <c r="Q17" s="6">
        <f>SUMIFS('2'!G:G,'2'!$A:$A,基础表!$E17,'2'!$B:$B,基础表!$F17)</f>
        <v>0.86012364760432802</v>
      </c>
      <c r="R17" s="6">
        <f t="shared" si="2"/>
        <v>0.19811320754716982</v>
      </c>
      <c r="S17" s="6">
        <f t="shared" si="3"/>
        <v>0.14285714285714285</v>
      </c>
      <c r="T17" s="6">
        <f t="shared" si="4"/>
        <v>0.1725067385444744</v>
      </c>
      <c r="U17" s="6">
        <f t="shared" si="5"/>
        <v>0.11904761904761905</v>
      </c>
      <c r="V17" s="6">
        <f t="shared" si="6"/>
        <v>0.14061096136567836</v>
      </c>
      <c r="W17" s="6">
        <f t="shared" si="7"/>
        <v>0.11635220125786164</v>
      </c>
      <c r="X17" s="6">
        <f t="shared" si="8"/>
        <v>0.11051212938005391</v>
      </c>
      <c r="Y17" s="6">
        <f t="shared" si="9"/>
        <v>0</v>
      </c>
      <c r="Z17" s="5">
        <f>SUMIFS('4'!C:C,'4'!$A:$A,基础表!$E17,'4'!$B:$B,基础表!$F17)</f>
        <v>0.441</v>
      </c>
      <c r="AA17" s="5">
        <f>SUMIFS('4'!D:D,'4'!$A:$A,基础表!$E17,'4'!$B:$B,基础表!$F17)</f>
        <v>0.318</v>
      </c>
      <c r="AB17" s="5">
        <f>SUMIFS('4'!E:E,'4'!$A:$A,基础表!$E17,'4'!$B:$B,基础表!$F17)</f>
        <v>0.38400000000000001</v>
      </c>
      <c r="AC17" s="5">
        <f>SUMIFS('4'!F:F,'4'!$A:$A,基础表!$E17,'4'!$B:$B,基础表!$F17)</f>
        <v>0.26500000000000001</v>
      </c>
      <c r="AD17" s="5">
        <f>SUMIFS('4'!G:G,'4'!$A:$A,基础表!$E17,'4'!$B:$B,基础表!$F17)</f>
        <v>0.313</v>
      </c>
      <c r="AE17" s="5">
        <f>SUMIFS('4'!H:H,'4'!$A:$A,基础表!$E17,'4'!$B:$B,基础表!$F17)</f>
        <v>0.25900000000000001</v>
      </c>
      <c r="AF17" s="5">
        <f>SUMIFS('4'!I:I,'4'!$A:$A,基础表!$E17,'4'!$B:$B,基础表!$F17)</f>
        <v>0.246</v>
      </c>
      <c r="AG17" s="5">
        <f>SUMIFS('4'!J:J,'4'!$A:$A,基础表!$E17,'4'!$B:$B,基础表!$F17)</f>
        <v>0</v>
      </c>
      <c r="AH17" s="143">
        <v>2.8140000000000001</v>
      </c>
      <c r="AI17" s="143">
        <v>2.4009999999999998</v>
      </c>
      <c r="AJ17" s="143">
        <f t="shared" si="12"/>
        <v>-0.41300000000000026</v>
      </c>
      <c r="AK17" s="6">
        <f>SUMIFS('3'!C:C,'3'!$A:$A,基础表!$E17,'3'!$B:$B,基础表!$F17)</f>
        <v>0.24901960784313701</v>
      </c>
      <c r="AL17" s="6">
        <f>SUMIFS('3'!D:D,'3'!$A:$A,基础表!$E17,'3'!$B:$B,基础表!$F17)</f>
        <v>0.642789820923657</v>
      </c>
      <c r="AM17" s="6">
        <f>SUMIFS('3'!E:E,'3'!$A:$A,基础表!$E17,'3'!$B:$B,基础表!$F17)</f>
        <v>0.25911251980982597</v>
      </c>
      <c r="AN17" s="6">
        <f>SUMIFS('3'!F:F,'3'!$A:$A,基础表!$E17,'3'!$B:$B,基础表!$F17)</f>
        <v>0.56000000000000005</v>
      </c>
      <c r="AO17" s="6">
        <f>SUMIFS('3'!G:G,'3'!$A:$A,基础表!$E17,'3'!$B:$B,基础表!$F17)</f>
        <v>0.295830575777631</v>
      </c>
      <c r="AP17" s="6">
        <f>SUMIFS('3'!H:H,'3'!$A:$A,基础表!$E17,'3'!$B:$B,基础表!$F17)</f>
        <v>0.45333333333333298</v>
      </c>
      <c r="AQ17" s="6">
        <f>SUMIFS('3'!I:I,'3'!$A:$A,基础表!$E17,'3'!$B:$B,基础表!$F17)</f>
        <v>0.46156893819334399</v>
      </c>
      <c r="AR17" s="6">
        <f>SUMIFS('3'!M:M,'3'!$K:$K,基础表!$E17,'3'!$L:$L,基础表!$F17)</f>
        <v>0.71875</v>
      </c>
      <c r="AS17" s="6">
        <f>SUMIFS('3'!N:N,'3'!$K:$K,基础表!$E17,'3'!$L:$L,基础表!$F17)</f>
        <v>1</v>
      </c>
    </row>
    <row r="18" spans="1:45" x14ac:dyDescent="0.2">
      <c r="C18" s="78">
        <f>RANK(D18,$D$5:$D$34)+COUNTIF($D$5:D18,D18)-1</f>
        <v>5</v>
      </c>
      <c r="D18" s="6">
        <f t="shared" si="13"/>
        <v>0.86046511627906996</v>
      </c>
      <c r="E18" s="8" t="s">
        <v>14</v>
      </c>
      <c r="F18" s="8" t="s">
        <v>20</v>
      </c>
      <c r="G18" s="5">
        <v>0.39100000000000001</v>
      </c>
      <c r="H18" s="5">
        <v>0.52500000000000002</v>
      </c>
      <c r="I18" s="5">
        <v>0.379</v>
      </c>
      <c r="J18" s="6">
        <v>-0.34285714285714275</v>
      </c>
      <c r="K18" s="6">
        <v>-0.3027888446215139</v>
      </c>
      <c r="L18" s="6">
        <v>-4.7738693467336724E-2</v>
      </c>
      <c r="M18" s="5">
        <f>SUMIFS('2'!C:C,'2'!$A:$A,基础表!$E18,'2'!$B:$B,基础表!$F18)</f>
        <v>0.44400000000000001</v>
      </c>
      <c r="N18" s="5">
        <f>SUMIFS('2'!D:D,'2'!$A:$A,基础表!$E18,'2'!$B:$B,基础表!$F18)</f>
        <v>0.51100000000000001</v>
      </c>
      <c r="O18" s="6">
        <f t="shared" si="14"/>
        <v>-0.13111545988258322</v>
      </c>
      <c r="P18" s="5">
        <f>SUMIFS('2'!F:F,'2'!$A:$A,基础表!$E18,'2'!$B:$B,基础表!$F18)</f>
        <v>0.51600000000000001</v>
      </c>
      <c r="Q18" s="6">
        <f>SUMIFS('2'!G:G,'2'!$A:$A,基础表!$E18,'2'!$B:$B,基础表!$F18)</f>
        <v>0.86046511627906996</v>
      </c>
      <c r="R18" s="6">
        <f t="shared" si="2"/>
        <v>0.25</v>
      </c>
      <c r="S18" s="6">
        <f t="shared" si="3"/>
        <v>0.1463963963963964</v>
      </c>
      <c r="T18" s="6">
        <f t="shared" si="4"/>
        <v>7.8828828828828829E-2</v>
      </c>
      <c r="U18" s="6">
        <f t="shared" si="5"/>
        <v>0.16891891891891891</v>
      </c>
      <c r="V18" s="6">
        <f t="shared" si="6"/>
        <v>0.13513513513513511</v>
      </c>
      <c r="W18" s="6">
        <f t="shared" si="7"/>
        <v>0.15090090090090091</v>
      </c>
      <c r="X18" s="6">
        <f t="shared" si="8"/>
        <v>6.9819819819819814E-2</v>
      </c>
      <c r="Y18" s="6">
        <f t="shared" si="9"/>
        <v>0</v>
      </c>
      <c r="Z18" s="5">
        <f>SUMIFS('4'!C:C,'4'!$A:$A,基础表!$E18,'4'!$B:$B,基础表!$F18)</f>
        <v>0.111</v>
      </c>
      <c r="AA18" s="5">
        <f>SUMIFS('4'!D:D,'4'!$A:$A,基础表!$E18,'4'!$B:$B,基础表!$F18)</f>
        <v>6.5000000000000002E-2</v>
      </c>
      <c r="AB18" s="5">
        <f>SUMIFS('4'!E:E,'4'!$A:$A,基础表!$E18,'4'!$B:$B,基础表!$F18)</f>
        <v>3.5000000000000003E-2</v>
      </c>
      <c r="AC18" s="5">
        <f>SUMIFS('4'!F:F,'4'!$A:$A,基础表!$E18,'4'!$B:$B,基础表!$F18)</f>
        <v>7.4999999999999997E-2</v>
      </c>
      <c r="AD18" s="5">
        <f>SUMIFS('4'!G:G,'4'!$A:$A,基础表!$E18,'4'!$B:$B,基础表!$F18)</f>
        <v>0.06</v>
      </c>
      <c r="AE18" s="5">
        <f>SUMIFS('4'!H:H,'4'!$A:$A,基础表!$E18,'4'!$B:$B,基础表!$F18)</f>
        <v>6.7000000000000004E-2</v>
      </c>
      <c r="AF18" s="5">
        <f>SUMIFS('4'!I:I,'4'!$A:$A,基础表!$E18,'4'!$B:$B,基础表!$F18)</f>
        <v>3.1E-2</v>
      </c>
      <c r="AG18" s="5">
        <f>SUMIFS('4'!J:J,'4'!$A:$A,基础表!$E18,'4'!$B:$B,基础表!$F18)</f>
        <v>0</v>
      </c>
      <c r="AH18" s="143">
        <v>0.46800000000000003</v>
      </c>
      <c r="AI18" s="143">
        <v>0.41799999999999998</v>
      </c>
      <c r="AJ18" s="143">
        <f t="shared" si="12"/>
        <v>-5.0000000000000044E-2</v>
      </c>
      <c r="AK18" s="6">
        <f>SUMIFS('3'!C:C,'3'!$A:$A,基础表!$E18,'3'!$B:$B,基础表!$F18)</f>
        <v>0.16019417475728201</v>
      </c>
      <c r="AL18" s="6">
        <f>SUMIFS('3'!D:D,'3'!$A:$A,基础表!$E18,'3'!$B:$B,基础表!$F18)</f>
        <v>0.76949152542372901</v>
      </c>
      <c r="AM18" s="6">
        <f>SUMIFS('3'!E:E,'3'!$A:$A,基础表!$E18,'3'!$B:$B,基础表!$F18)</f>
        <v>0.24382207578253698</v>
      </c>
      <c r="AN18" s="6">
        <f>SUMIFS('3'!F:F,'3'!$A:$A,基础表!$E18,'3'!$B:$B,基础表!$F18)</f>
        <v>0.373493975903614</v>
      </c>
      <c r="AO18" s="6">
        <f>SUMIFS('3'!G:G,'3'!$A:$A,基础表!$E18,'3'!$B:$B,基础表!$F18)</f>
        <v>0.30170316301703198</v>
      </c>
      <c r="AP18" s="6">
        <f>SUMIFS('3'!H:H,'3'!$A:$A,基础表!$E18,'3'!$B:$B,基础表!$F18)</f>
        <v>0.22222222222222199</v>
      </c>
      <c r="AQ18" s="6">
        <f>SUMIFS('3'!I:I,'3'!$A:$A,基础表!$E18,'3'!$B:$B,基础表!$F18)</f>
        <v>0.53377265238879701</v>
      </c>
      <c r="AR18" s="6">
        <f>SUMIFS('3'!M:M,'3'!$K:$K,基础表!$E18,'3'!$L:$L,基础表!$F18)</f>
        <v>0.90625</v>
      </c>
      <c r="AS18" s="6">
        <f>SUMIFS('3'!N:N,'3'!$K:$K,基础表!$E18,'3'!$L:$L,基础表!$F18)</f>
        <v>1</v>
      </c>
    </row>
    <row r="19" spans="1:45" x14ac:dyDescent="0.2">
      <c r="C19" s="78">
        <f>RANK(D19,$D$5:$D$34)+COUNTIF($D$5:D19,D19)-1</f>
        <v>14</v>
      </c>
      <c r="D19" s="6">
        <f t="shared" si="13"/>
        <v>0.73548922056384702</v>
      </c>
      <c r="E19" s="8" t="s">
        <v>14</v>
      </c>
      <c r="F19" s="8" t="s">
        <v>21</v>
      </c>
      <c r="G19" s="5">
        <v>1.2869999999999999</v>
      </c>
      <c r="H19" s="5">
        <v>2.63</v>
      </c>
      <c r="I19" s="5">
        <v>1.901</v>
      </c>
      <c r="J19" s="6">
        <v>-7.0086705202312083E-2</v>
      </c>
      <c r="K19" s="6">
        <v>9.3100581878636568E-2</v>
      </c>
      <c r="L19" s="6">
        <v>-4.7595190380761543E-2</v>
      </c>
      <c r="M19" s="5">
        <f>SUMIFS('2'!C:C,'2'!$A:$A,基础表!$E19,'2'!$B:$B,基础表!$F19)</f>
        <v>1.774</v>
      </c>
      <c r="N19" s="5">
        <f>SUMIFS('2'!D:D,'2'!$A:$A,基础表!$E19,'2'!$B:$B,基础表!$F19)</f>
        <v>2.1869999999999998</v>
      </c>
      <c r="O19" s="6">
        <f t="shared" si="14"/>
        <v>-0.18884316415180602</v>
      </c>
      <c r="P19" s="5">
        <f>SUMIFS('2'!F:F,'2'!$A:$A,基础表!$E19,'2'!$B:$B,基础表!$F19)</f>
        <v>2.4119999999999999</v>
      </c>
      <c r="Q19" s="6">
        <f>SUMIFS('2'!G:G,'2'!$A:$A,基础表!$E19,'2'!$B:$B,基础表!$F19)</f>
        <v>0.73548922056384702</v>
      </c>
      <c r="R19" s="6">
        <f t="shared" si="2"/>
        <v>0.20124013528748588</v>
      </c>
      <c r="S19" s="6">
        <f t="shared" si="3"/>
        <v>0.10484780157835399</v>
      </c>
      <c r="T19" s="6">
        <f t="shared" si="4"/>
        <v>0.15614430665163473</v>
      </c>
      <c r="U19" s="6">
        <f t="shared" si="5"/>
        <v>9.0755355129650508E-2</v>
      </c>
      <c r="V19" s="6">
        <f t="shared" si="6"/>
        <v>0.10710259301014656</v>
      </c>
      <c r="W19" s="6">
        <f t="shared" si="7"/>
        <v>0.18545659526493799</v>
      </c>
      <c r="X19" s="6">
        <f t="shared" si="8"/>
        <v>0.15445321307779031</v>
      </c>
      <c r="Y19" s="6">
        <f t="shared" si="9"/>
        <v>0</v>
      </c>
      <c r="Z19" s="5">
        <f>SUMIFS('4'!C:C,'4'!$A:$A,基础表!$E19,'4'!$B:$B,基础表!$F19)</f>
        <v>0.35699999999999998</v>
      </c>
      <c r="AA19" s="5">
        <f>SUMIFS('4'!D:D,'4'!$A:$A,基础表!$E19,'4'!$B:$B,基础表!$F19)</f>
        <v>0.186</v>
      </c>
      <c r="AB19" s="5">
        <f>SUMIFS('4'!E:E,'4'!$A:$A,基础表!$E19,'4'!$B:$B,基础表!$F19)</f>
        <v>0.27700000000000002</v>
      </c>
      <c r="AC19" s="5">
        <f>SUMIFS('4'!F:F,'4'!$A:$A,基础表!$E19,'4'!$B:$B,基础表!$F19)</f>
        <v>0.161</v>
      </c>
      <c r="AD19" s="5">
        <f>SUMIFS('4'!G:G,'4'!$A:$A,基础表!$E19,'4'!$B:$B,基础表!$F19)</f>
        <v>0.19</v>
      </c>
      <c r="AE19" s="5">
        <f>SUMIFS('4'!H:H,'4'!$A:$A,基础表!$E19,'4'!$B:$B,基础表!$F19)</f>
        <v>0.32900000000000001</v>
      </c>
      <c r="AF19" s="5">
        <f>SUMIFS('4'!I:I,'4'!$A:$A,基础表!$E19,'4'!$B:$B,基础表!$F19)</f>
        <v>0.27400000000000002</v>
      </c>
      <c r="AG19" s="5">
        <f>SUMIFS('4'!J:J,'4'!$A:$A,基础表!$E19,'4'!$B:$B,基础表!$F19)</f>
        <v>0</v>
      </c>
      <c r="AH19" s="143">
        <v>3.036</v>
      </c>
      <c r="AI19" s="143">
        <v>2.718</v>
      </c>
      <c r="AJ19" s="143">
        <f t="shared" si="12"/>
        <v>-0.31800000000000006</v>
      </c>
      <c r="AK19" s="6">
        <f>SUMIFS('3'!C:C,'3'!$A:$A,基础表!$E19,'3'!$B:$B,基础表!$F19)</f>
        <v>0.28844884488448796</v>
      </c>
      <c r="AL19" s="6">
        <f>SUMIFS('3'!D:D,'3'!$A:$A,基础表!$E19,'3'!$B:$B,基础表!$F19)</f>
        <v>0.69714285714285695</v>
      </c>
      <c r="AM19" s="6">
        <f>SUMIFS('3'!E:E,'3'!$A:$A,基础表!$E19,'3'!$B:$B,基础表!$F19)</f>
        <v>0.32341001353179999</v>
      </c>
      <c r="AN19" s="6">
        <f>SUMIFS('3'!F:F,'3'!$A:$A,基础表!$E19,'3'!$B:$B,基础表!$F19)</f>
        <v>0.79527559055118102</v>
      </c>
      <c r="AO19" s="6">
        <f>SUMIFS('3'!G:G,'3'!$A:$A,基础表!$E19,'3'!$B:$B,基础表!$F19)</f>
        <v>0.40212342402123397</v>
      </c>
      <c r="AP19" s="6">
        <f>SUMIFS('3'!H:H,'3'!$A:$A,基础表!$E19,'3'!$B:$B,基础表!$F19)</f>
        <v>0.62992125984252001</v>
      </c>
      <c r="AQ19" s="6">
        <f>SUMIFS('3'!I:I,'3'!$A:$A,基础表!$E19,'3'!$B:$B,基础表!$F19)</f>
        <v>0.49706811005863799</v>
      </c>
      <c r="AR19" s="6">
        <f>SUMIFS('3'!M:M,'3'!$K:$K,基础表!$E19,'3'!$L:$L,基础表!$F19)</f>
        <v>0.77777777777777801</v>
      </c>
      <c r="AS19" s="6">
        <f>SUMIFS('3'!N:N,'3'!$K:$K,基础表!$E19,'3'!$L:$L,基础表!$F19)</f>
        <v>1</v>
      </c>
    </row>
    <row r="20" spans="1:45" s="83" customFormat="1" x14ac:dyDescent="0.2">
      <c r="A20" s="83">
        <f>RANK(B20,$B$12:$B$34)</f>
        <v>3</v>
      </c>
      <c r="B20" s="84">
        <f>Q20</f>
        <v>0.75898989898989899</v>
      </c>
      <c r="C20" s="85"/>
      <c r="E20" s="86" t="s">
        <v>14</v>
      </c>
      <c r="F20" s="86" t="s">
        <v>4</v>
      </c>
      <c r="G20" s="87">
        <v>6.7779999999999996</v>
      </c>
      <c r="H20" s="87">
        <v>10.417999999999999</v>
      </c>
      <c r="I20" s="87">
        <v>7.7939999999999996</v>
      </c>
      <c r="J20" s="88">
        <v>-9.9508436296001035E-2</v>
      </c>
      <c r="K20" s="88">
        <v>-2.6718983557548759E-2</v>
      </c>
      <c r="L20" s="88">
        <v>-5.0207165488666772E-2</v>
      </c>
      <c r="M20" s="87">
        <f>SUMIFS('2'!C:C,'2'!$A:$A,基础表!$E20,'2'!$B:$B,基础表!$F20)</f>
        <v>7.5140000000000002</v>
      </c>
      <c r="N20" s="87">
        <f>SUMIFS('2'!D:D,'2'!$A:$A,基础表!$E20,'2'!$B:$B,基础表!$F20)</f>
        <v>10.028</v>
      </c>
      <c r="O20" s="88">
        <f t="shared" si="14"/>
        <v>-0.25069804547267649</v>
      </c>
      <c r="P20" s="87">
        <f>SUMIFS('2'!F:F,'2'!$A:$A,基础表!$E20,'2'!$B:$B,基础表!$F20)</f>
        <v>9.9</v>
      </c>
      <c r="Q20" s="88">
        <f>SUMIFS('2'!G:G,'2'!$A:$A,基础表!$E20,'2'!$B:$B,基础表!$F20)</f>
        <v>0.75898989898989899</v>
      </c>
      <c r="R20" s="88">
        <f t="shared" si="2"/>
        <v>0.19683257918552036</v>
      </c>
      <c r="S20" s="88">
        <f t="shared" si="3"/>
        <v>0.1225712004258717</v>
      </c>
      <c r="T20" s="88">
        <f t="shared" si="4"/>
        <v>0.14599414426404045</v>
      </c>
      <c r="U20" s="88">
        <f t="shared" si="5"/>
        <v>0.11338834176204418</v>
      </c>
      <c r="V20" s="88">
        <f t="shared" si="6"/>
        <v>0.12895927601809953</v>
      </c>
      <c r="W20" s="88">
        <f t="shared" si="7"/>
        <v>0.15597551237689644</v>
      </c>
      <c r="X20" s="88">
        <f t="shared" si="8"/>
        <v>0.13627894596752729</v>
      </c>
      <c r="Y20" s="88">
        <f t="shared" si="9"/>
        <v>0</v>
      </c>
      <c r="Z20" s="87">
        <f>SUMIFS('4'!C:C,'4'!$A:$A,基础表!$E20,'4'!$B:$B,基础表!$F20)</f>
        <v>1.4790000000000001</v>
      </c>
      <c r="AA20" s="87">
        <f>SUMIFS('4'!D:D,'4'!$A:$A,基础表!$E20,'4'!$B:$B,基础表!$F20)</f>
        <v>0.92100000000000004</v>
      </c>
      <c r="AB20" s="87">
        <f>SUMIFS('4'!E:E,'4'!$A:$A,基础表!$E20,'4'!$B:$B,基础表!$F20)</f>
        <v>1.097</v>
      </c>
      <c r="AC20" s="87">
        <f>SUMIFS('4'!F:F,'4'!$A:$A,基础表!$E20,'4'!$B:$B,基础表!$F20)</f>
        <v>0.85199999999999998</v>
      </c>
      <c r="AD20" s="87">
        <f>SUMIFS('4'!G:G,'4'!$A:$A,基础表!$E20,'4'!$B:$B,基础表!$F20)</f>
        <v>0.96899999999999997</v>
      </c>
      <c r="AE20" s="87">
        <f>SUMIFS('4'!H:H,'4'!$A:$A,基础表!$E20,'4'!$B:$B,基础表!$F20)</f>
        <v>1.1719999999999999</v>
      </c>
      <c r="AF20" s="87">
        <f>SUMIFS('4'!I:I,'4'!$A:$A,基础表!$E20,'4'!$B:$B,基础表!$F20)</f>
        <v>1.024</v>
      </c>
      <c r="AG20" s="87">
        <f>SUMIFS('4'!J:J,'4'!$A:$A,基础表!$E20,'4'!$B:$B,基础表!$F20)</f>
        <v>0</v>
      </c>
      <c r="AH20" s="144">
        <v>10.843</v>
      </c>
      <c r="AI20" s="144">
        <f>SUM(AI13:AI19)</f>
        <v>9.6774999999999984</v>
      </c>
      <c r="AJ20" s="144">
        <f t="shared" si="12"/>
        <v>-1.1655000000000015</v>
      </c>
      <c r="AK20" s="88">
        <f>SUMIFS('3'!C:C,'3'!$A:$A,基础表!$E20,'3'!$B:$B,基础表!$F20)</f>
        <v>0.28569317174105802</v>
      </c>
      <c r="AL20" s="88">
        <f>SUMIFS('3'!D:D,'3'!$A:$A,基础表!$E20,'3'!$B:$B,基础表!$F20)</f>
        <v>0.74308833445718092</v>
      </c>
      <c r="AM20" s="88">
        <f>SUMIFS('3'!E:E,'3'!$A:$A,基础表!$E20,'3'!$B:$B,基础表!$F20)</f>
        <v>0.33893338542684098</v>
      </c>
      <c r="AN20" s="88">
        <f>SUMIFS('3'!F:F,'3'!$A:$A,基础表!$E20,'3'!$B:$B,基础表!$F20)</f>
        <v>0.55968468468468502</v>
      </c>
      <c r="AO20" s="88">
        <f>SUMIFS('3'!G:G,'3'!$A:$A,基础表!$E20,'3'!$B:$B,基础表!$F20)</f>
        <v>0.35848493886072197</v>
      </c>
      <c r="AP20" s="88">
        <f>SUMIFS('3'!H:H,'3'!$A:$A,基础表!$E20,'3'!$B:$B,基础表!$F20)</f>
        <v>0.43572241183162702</v>
      </c>
      <c r="AQ20" s="88">
        <f>SUMIFS('3'!I:I,'3'!$A:$A,基础表!$E20,'3'!$B:$B,基础表!$F20)</f>
        <v>0.54981441687829702</v>
      </c>
      <c r="AR20" s="88">
        <f>SUMIFS('3'!M:M,'3'!$K:$K,基础表!$E20,'3'!$L:$L,基础表!$F20)</f>
        <v>0.82022471910112404</v>
      </c>
      <c r="AS20" s="88">
        <f>SUMIFS('3'!N:N,'3'!$K:$K,基础表!$E20,'3'!$L:$L,基础表!$F20)</f>
        <v>0.99625468164793995</v>
      </c>
    </row>
    <row r="21" spans="1:45" x14ac:dyDescent="0.2">
      <c r="C21" s="78">
        <f>RANK(D21,$D$5:$D$34)+COUNTIF($D$5:D21,D21)-1</f>
        <v>13</v>
      </c>
      <c r="D21" s="6">
        <f t="shared" ref="D21:D25" si="15">Q21</f>
        <v>0.75072463768115894</v>
      </c>
      <c r="E21" s="8" t="s">
        <v>22</v>
      </c>
      <c r="F21" s="8" t="s">
        <v>23</v>
      </c>
      <c r="G21" s="5">
        <v>0.317</v>
      </c>
      <c r="H21" s="5">
        <v>0.57499999999999996</v>
      </c>
      <c r="I21" s="5">
        <v>0.41299999999999998</v>
      </c>
      <c r="J21" s="6">
        <v>-0.17447916666666663</v>
      </c>
      <c r="K21" s="6">
        <v>1.7421602787457413E-3</v>
      </c>
      <c r="L21" s="6">
        <v>1.1288659793814433</v>
      </c>
      <c r="M21" s="5">
        <f>SUMIFS('2'!C:C,'2'!$A:$A,基础表!$E21,'2'!$B:$B,基础表!$F21)</f>
        <v>0.51800000000000002</v>
      </c>
      <c r="N21" s="5">
        <f>SUMIFS('2'!D:D,'2'!$A:$A,基础表!$E21,'2'!$B:$B,基础表!$F21)</f>
        <v>0.89900000000000002</v>
      </c>
      <c r="O21" s="6">
        <f t="shared" si="1"/>
        <v>-0.42380422691879871</v>
      </c>
      <c r="P21" s="5">
        <f>SUMIFS('2'!F:F,'2'!$A:$A,基础表!$E21,'2'!$B:$B,基础表!$F21)</f>
        <v>0.69</v>
      </c>
      <c r="Q21" s="6">
        <f>SUMIFS('2'!G:G,'2'!$A:$A,基础表!$E21,'2'!$B:$B,基础表!$F21)</f>
        <v>0.75072463768115894</v>
      </c>
      <c r="R21" s="6">
        <f t="shared" si="2"/>
        <v>0.22393822393822393</v>
      </c>
      <c r="S21" s="6">
        <f t="shared" si="3"/>
        <v>0.11776061776061776</v>
      </c>
      <c r="T21" s="6">
        <f t="shared" si="4"/>
        <v>0.18725868725868725</v>
      </c>
      <c r="U21" s="6">
        <f t="shared" si="5"/>
        <v>0.12548262548262548</v>
      </c>
      <c r="V21" s="6">
        <f t="shared" si="6"/>
        <v>0.15250965250965251</v>
      </c>
      <c r="W21" s="6">
        <f t="shared" si="7"/>
        <v>0.13513513513513514</v>
      </c>
      <c r="X21" s="6">
        <f t="shared" si="8"/>
        <v>5.791505791505791E-2</v>
      </c>
      <c r="Y21" s="6">
        <f t="shared" si="9"/>
        <v>0</v>
      </c>
      <c r="Z21" s="5">
        <f>SUMIFS('4'!C:C,'4'!$A:$A,基础表!$E21,'4'!$B:$B,基础表!$F21)</f>
        <v>0.11600000000000001</v>
      </c>
      <c r="AA21" s="5">
        <f>SUMIFS('4'!D:D,'4'!$A:$A,基础表!$E21,'4'!$B:$B,基础表!$F21)</f>
        <v>6.0999999999999999E-2</v>
      </c>
      <c r="AB21" s="5">
        <f>SUMIFS('4'!E:E,'4'!$A:$A,基础表!$E21,'4'!$B:$B,基础表!$F21)</f>
        <v>9.7000000000000003E-2</v>
      </c>
      <c r="AC21" s="5">
        <f>SUMIFS('4'!F:F,'4'!$A:$A,基础表!$E21,'4'!$B:$B,基础表!$F21)</f>
        <v>6.5000000000000002E-2</v>
      </c>
      <c r="AD21" s="5">
        <f>SUMIFS('4'!G:G,'4'!$A:$A,基础表!$E21,'4'!$B:$B,基础表!$F21)</f>
        <v>7.9000000000000001E-2</v>
      </c>
      <c r="AE21" s="5">
        <f>SUMIFS('4'!H:H,'4'!$A:$A,基础表!$E21,'4'!$B:$B,基础表!$F21)</f>
        <v>7.0000000000000007E-2</v>
      </c>
      <c r="AF21" s="5">
        <f>SUMIFS('4'!I:I,'4'!$A:$A,基础表!$E21,'4'!$B:$B,基础表!$F21)</f>
        <v>0.03</v>
      </c>
      <c r="AG21" s="5">
        <f>SUMIFS('4'!J:J,'4'!$A:$A,基础表!$E21,'4'!$B:$B,基础表!$F21)</f>
        <v>0</v>
      </c>
      <c r="AH21" s="143">
        <v>0.78600000000000003</v>
      </c>
      <c r="AI21" s="143">
        <v>0.56999999999999995</v>
      </c>
      <c r="AJ21" s="143">
        <f t="shared" si="12"/>
        <v>-0.21600000000000008</v>
      </c>
      <c r="AK21" s="6">
        <f>SUMIFS('3'!C:C,'3'!$A:$A,基础表!$E21,'3'!$B:$B,基础表!$F21)</f>
        <v>0.13541666666666699</v>
      </c>
      <c r="AL21" s="6">
        <f>SUMIFS('3'!D:D,'3'!$A:$A,基础表!$E21,'3'!$B:$B,基础表!$F21)</f>
        <v>0.82653061224489799</v>
      </c>
      <c r="AM21" s="6">
        <f>SUMIFS('3'!E:E,'3'!$A:$A,基础表!$E21,'3'!$B:$B,基础表!$F21)</f>
        <v>0.25392986698911701</v>
      </c>
      <c r="AN21" s="6">
        <f>SUMIFS('3'!F:F,'3'!$A:$A,基础表!$E21,'3'!$B:$B,基础表!$F21)</f>
        <v>0.52032520325203302</v>
      </c>
      <c r="AO21" s="6">
        <f>SUMIFS('3'!G:G,'3'!$A:$A,基础表!$E21,'3'!$B:$B,基础表!$F21)</f>
        <v>0.301754385964912</v>
      </c>
      <c r="AP21" s="6">
        <f>SUMIFS('3'!H:H,'3'!$A:$A,基础表!$E21,'3'!$B:$B,基础表!$F21)</f>
        <v>0.39830508474576298</v>
      </c>
      <c r="AQ21" s="6">
        <f>SUMIFS('3'!I:I,'3'!$A:$A,基础表!$E21,'3'!$B:$B,基础表!$F21)</f>
        <v>0.51753325272067696</v>
      </c>
      <c r="AR21" s="6">
        <f>SUMIFS('3'!M:M,'3'!$K:$K,基础表!$E21,'3'!$L:$L,基础表!$F21)</f>
        <v>1</v>
      </c>
      <c r="AS21" s="6">
        <f>SUMIFS('3'!N:N,'3'!$K:$K,基础表!$E21,'3'!$L:$L,基础表!$F21)</f>
        <v>1</v>
      </c>
    </row>
    <row r="22" spans="1:45" x14ac:dyDescent="0.2">
      <c r="C22" s="78">
        <f>RANK(D22,$D$5:$D$34)+COUNTIF($D$5:D22,D22)-1</f>
        <v>11</v>
      </c>
      <c r="D22" s="6">
        <f t="shared" si="15"/>
        <v>0.76094391244869997</v>
      </c>
      <c r="E22" s="8" t="s">
        <v>22</v>
      </c>
      <c r="F22" s="8" t="s">
        <v>24</v>
      </c>
      <c r="G22" s="5">
        <v>1.29</v>
      </c>
      <c r="H22" s="5">
        <v>2.2709999999999999</v>
      </c>
      <c r="I22" s="5">
        <v>1.77</v>
      </c>
      <c r="J22" s="6">
        <v>-5.563689604685218E-2</v>
      </c>
      <c r="K22" s="6">
        <v>5.6770590972545332E-2</v>
      </c>
      <c r="L22" s="6">
        <v>-0.14285714285714279</v>
      </c>
      <c r="M22" s="5">
        <f>SUMIFS('2'!C:C,'2'!$A:$A,基础表!$E22,'2'!$B:$B,基础表!$F22)</f>
        <v>2.2250000000000001</v>
      </c>
      <c r="N22" s="5">
        <f>SUMIFS('2'!D:D,'2'!$A:$A,基础表!$E22,'2'!$B:$B,基础表!$F22)</f>
        <v>2.9020000000000001</v>
      </c>
      <c r="O22" s="6">
        <f t="shared" si="1"/>
        <v>-0.2332873880082702</v>
      </c>
      <c r="P22" s="5">
        <f>SUMIFS('2'!F:F,'2'!$A:$A,基础表!$E22,'2'!$B:$B,基础表!$F22)</f>
        <v>2.9239999999999999</v>
      </c>
      <c r="Q22" s="6">
        <f>SUMIFS('2'!G:G,'2'!$A:$A,基础表!$E22,'2'!$B:$B,基础表!$F22)</f>
        <v>0.76094391244869997</v>
      </c>
      <c r="R22" s="6">
        <f t="shared" si="2"/>
        <v>0.16449438202247191</v>
      </c>
      <c r="S22" s="6">
        <f t="shared" si="3"/>
        <v>0.13887640449438202</v>
      </c>
      <c r="T22" s="6">
        <f t="shared" si="4"/>
        <v>0.17168539325842697</v>
      </c>
      <c r="U22" s="6">
        <f t="shared" si="5"/>
        <v>0.11146067415730336</v>
      </c>
      <c r="V22" s="6">
        <f t="shared" si="6"/>
        <v>0.14382022471910111</v>
      </c>
      <c r="W22" s="6">
        <f t="shared" si="7"/>
        <v>0.14831460674157304</v>
      </c>
      <c r="X22" s="6">
        <f t="shared" si="8"/>
        <v>0.12134831460674157</v>
      </c>
      <c r="Y22" s="6">
        <f t="shared" si="9"/>
        <v>0</v>
      </c>
      <c r="Z22" s="5">
        <f>SUMIFS('4'!C:C,'4'!$A:$A,基础表!$E22,'4'!$B:$B,基础表!$F22)</f>
        <v>0.36599999999999999</v>
      </c>
      <c r="AA22" s="5">
        <f>SUMIFS('4'!D:D,'4'!$A:$A,基础表!$E22,'4'!$B:$B,基础表!$F22)</f>
        <v>0.309</v>
      </c>
      <c r="AB22" s="5">
        <f>SUMIFS('4'!E:E,'4'!$A:$A,基础表!$E22,'4'!$B:$B,基础表!$F22)</f>
        <v>0.38200000000000001</v>
      </c>
      <c r="AC22" s="5">
        <f>SUMIFS('4'!F:F,'4'!$A:$A,基础表!$E22,'4'!$B:$B,基础表!$F22)</f>
        <v>0.248</v>
      </c>
      <c r="AD22" s="5">
        <f>SUMIFS('4'!G:G,'4'!$A:$A,基础表!$E22,'4'!$B:$B,基础表!$F22)</f>
        <v>0.32</v>
      </c>
      <c r="AE22" s="5">
        <f>SUMIFS('4'!H:H,'4'!$A:$A,基础表!$E22,'4'!$B:$B,基础表!$F22)</f>
        <v>0.33</v>
      </c>
      <c r="AF22" s="5">
        <f>SUMIFS('4'!I:I,'4'!$A:$A,基础表!$E22,'4'!$B:$B,基础表!$F22)</f>
        <v>0.27</v>
      </c>
      <c r="AG22" s="5">
        <f>SUMIFS('4'!J:J,'4'!$A:$A,基础表!$E22,'4'!$B:$B,基础表!$F22)</f>
        <v>0</v>
      </c>
      <c r="AH22" s="143">
        <v>2.3290000000000002</v>
      </c>
      <c r="AI22" s="143">
        <v>2.819</v>
      </c>
      <c r="AJ22" s="143">
        <f t="shared" si="12"/>
        <v>0.48999999999999977</v>
      </c>
      <c r="AK22" s="6">
        <f>SUMIFS('3'!C:C,'3'!$A:$A,基础表!$E22,'3'!$B:$B,基础表!$F22)</f>
        <v>0.321877065432915</v>
      </c>
      <c r="AL22" s="6">
        <f>SUMIFS('3'!D:D,'3'!$A:$A,基础表!$E22,'3'!$B:$B,基础表!$F22)</f>
        <v>0.83250000000000002</v>
      </c>
      <c r="AM22" s="6">
        <f>SUMIFS('3'!E:E,'3'!$A:$A,基础表!$E22,'3'!$B:$B,基础表!$F22)</f>
        <v>0.35536753040719199</v>
      </c>
      <c r="AN22" s="6">
        <f>SUMIFS('3'!F:F,'3'!$A:$A,基础表!$E22,'3'!$B:$B,基础表!$F22)</f>
        <v>0.65384615384615397</v>
      </c>
      <c r="AO22" s="6">
        <f>SUMIFS('3'!G:G,'3'!$A:$A,基础表!$E22,'3'!$B:$B,基础表!$F22)</f>
        <v>0.42157511581733897</v>
      </c>
      <c r="AP22" s="6">
        <f>SUMIFS('3'!H:H,'3'!$A:$A,基础表!$E22,'3'!$B:$B,基础表!$F22)</f>
        <v>0.47422680412371099</v>
      </c>
      <c r="AQ22" s="6">
        <f>SUMIFS('3'!I:I,'3'!$A:$A,基础表!$E22,'3'!$B:$B,基础表!$F22)</f>
        <v>0.58434690639873099</v>
      </c>
      <c r="AR22" s="6">
        <f>SUMIFS('3'!M:M,'3'!$K:$K,基础表!$E22,'3'!$L:$L,基础表!$F22)</f>
        <v>0.68421052631578905</v>
      </c>
      <c r="AS22" s="6">
        <f>SUMIFS('3'!N:N,'3'!$K:$K,基础表!$E22,'3'!$L:$L,基础表!$F22)</f>
        <v>1</v>
      </c>
    </row>
    <row r="23" spans="1:45" x14ac:dyDescent="0.2">
      <c r="C23" s="78">
        <f>RANK(D23,$D$5:$D$34)+COUNTIF($D$5:D23,D23)-1</f>
        <v>16</v>
      </c>
      <c r="D23" s="6">
        <f t="shared" si="15"/>
        <v>0.67469095640858801</v>
      </c>
      <c r="E23" s="8" t="s">
        <v>22</v>
      </c>
      <c r="F23" s="8" t="s">
        <v>25</v>
      </c>
      <c r="G23" s="5">
        <v>1.2470000000000001</v>
      </c>
      <c r="H23" s="5">
        <v>2.4820000000000002</v>
      </c>
      <c r="I23" s="5">
        <v>1.8460000000000001</v>
      </c>
      <c r="J23" s="6">
        <v>-9.4408133623819834E-2</v>
      </c>
      <c r="K23" s="6">
        <v>2.0185708518369871E-3</v>
      </c>
      <c r="L23" s="6">
        <v>-0.11335254562920261</v>
      </c>
      <c r="M23" s="5">
        <f>SUMIFS('2'!C:C,'2'!$A:$A,基础表!$E23,'2'!$B:$B,基础表!$F23)</f>
        <v>2.0739999999999998</v>
      </c>
      <c r="N23" s="5">
        <f>SUMIFS('2'!D:D,'2'!$A:$A,基础表!$E23,'2'!$B:$B,基础表!$F23)</f>
        <v>2.7280000000000002</v>
      </c>
      <c r="O23" s="6">
        <f t="shared" si="1"/>
        <v>-0.23973607038123179</v>
      </c>
      <c r="P23" s="5">
        <f>SUMIFS('2'!F:F,'2'!$A:$A,基础表!$E23,'2'!$B:$B,基础表!$F23)</f>
        <v>3.0739999999999998</v>
      </c>
      <c r="Q23" s="6">
        <f>SUMIFS('2'!G:G,'2'!$A:$A,基础表!$E23,'2'!$B:$B,基础表!$F23)</f>
        <v>0.67469095640858801</v>
      </c>
      <c r="R23" s="6">
        <f t="shared" si="2"/>
        <v>0.18081002892960465</v>
      </c>
      <c r="S23" s="6">
        <f t="shared" si="3"/>
        <v>6.2680810028929612E-2</v>
      </c>
      <c r="T23" s="6">
        <f t="shared" si="4"/>
        <v>0.1513982642237223</v>
      </c>
      <c r="U23" s="6">
        <f t="shared" si="5"/>
        <v>0.15621986499517843</v>
      </c>
      <c r="V23" s="6">
        <f t="shared" si="6"/>
        <v>0.15911282545805208</v>
      </c>
      <c r="W23" s="6">
        <f t="shared" si="7"/>
        <v>0.11089681774349085</v>
      </c>
      <c r="X23" s="6">
        <f t="shared" si="8"/>
        <v>0.17888138862102218</v>
      </c>
      <c r="Y23" s="6">
        <f t="shared" si="9"/>
        <v>0</v>
      </c>
      <c r="Z23" s="5">
        <f>SUMIFS('4'!C:C,'4'!$A:$A,基础表!$E23,'4'!$B:$B,基础表!$F23)</f>
        <v>0.375</v>
      </c>
      <c r="AA23" s="5">
        <f>SUMIFS('4'!D:D,'4'!$A:$A,基础表!$E23,'4'!$B:$B,基础表!$F23)</f>
        <v>0.13</v>
      </c>
      <c r="AB23" s="5">
        <f>SUMIFS('4'!E:E,'4'!$A:$A,基础表!$E23,'4'!$B:$B,基础表!$F23)</f>
        <v>0.314</v>
      </c>
      <c r="AC23" s="5">
        <f>SUMIFS('4'!F:F,'4'!$A:$A,基础表!$E23,'4'!$B:$B,基础表!$F23)</f>
        <v>0.32400000000000001</v>
      </c>
      <c r="AD23" s="5">
        <f>SUMIFS('4'!G:G,'4'!$A:$A,基础表!$E23,'4'!$B:$B,基础表!$F23)</f>
        <v>0.33</v>
      </c>
      <c r="AE23" s="5">
        <f>SUMIFS('4'!H:H,'4'!$A:$A,基础表!$E23,'4'!$B:$B,基础表!$F23)</f>
        <v>0.23</v>
      </c>
      <c r="AF23" s="5">
        <f>SUMIFS('4'!I:I,'4'!$A:$A,基础表!$E23,'4'!$B:$B,基础表!$F23)</f>
        <v>0.371</v>
      </c>
      <c r="AG23" s="5">
        <f>SUMIFS('4'!J:J,'4'!$A:$A,基础表!$E23,'4'!$B:$B,基础表!$F23)</f>
        <v>0</v>
      </c>
      <c r="AH23" s="143">
        <v>2.5289999999999999</v>
      </c>
      <c r="AI23" s="143">
        <v>2.4510000000000001</v>
      </c>
      <c r="AJ23" s="143">
        <f t="shared" si="12"/>
        <v>-7.7999999999999847E-2</v>
      </c>
      <c r="AK23" s="6">
        <f>SUMIFS('3'!C:C,'3'!$A:$A,基础表!$E23,'3'!$B:$B,基础表!$F23)</f>
        <v>0.44418960244648298</v>
      </c>
      <c r="AL23" s="6">
        <f>SUMIFS('3'!D:D,'3'!$A:$A,基础表!$E23,'3'!$B:$B,基础表!$F23)</f>
        <v>0.91972789115646292</v>
      </c>
      <c r="AM23" s="6">
        <f>SUMIFS('3'!E:E,'3'!$A:$A,基础表!$E23,'3'!$B:$B,基础表!$F23)</f>
        <v>0.53485576923076894</v>
      </c>
      <c r="AN23" s="6">
        <f>SUMIFS('3'!F:F,'3'!$A:$A,基础表!$E23,'3'!$B:$B,基础表!$F23)</f>
        <v>0.62179487179487192</v>
      </c>
      <c r="AO23" s="6">
        <f>SUMIFS('3'!G:G,'3'!$A:$A,基础表!$E23,'3'!$B:$B,基础表!$F23)</f>
        <v>0.52217125382262997</v>
      </c>
      <c r="AP23" s="6">
        <f>SUMIFS('3'!H:H,'3'!$A:$A,基础表!$E23,'3'!$B:$B,基础表!$F23)</f>
        <v>0.56129032258064493</v>
      </c>
      <c r="AQ23" s="6">
        <f>SUMIFS('3'!I:I,'3'!$A:$A,基础表!$E23,'3'!$B:$B,基础表!$F23)</f>
        <v>0.73257211538461509</v>
      </c>
      <c r="AR23" s="6">
        <f>SUMIFS('3'!M:M,'3'!$K:$K,基础表!$E23,'3'!$L:$L,基础表!$F23)</f>
        <v>0.875</v>
      </c>
      <c r="AS23" s="6">
        <f>SUMIFS('3'!N:N,'3'!$K:$K,基础表!$E23,'3'!$L:$L,基础表!$F23)</f>
        <v>1</v>
      </c>
    </row>
    <row r="24" spans="1:45" x14ac:dyDescent="0.2">
      <c r="C24" s="78">
        <f>RANK(D24,$D$5:$D$34)+COUNTIF($D$5:D24,D24)-1</f>
        <v>10</v>
      </c>
      <c r="D24" s="6">
        <f t="shared" si="15"/>
        <v>0.77002583979328199</v>
      </c>
      <c r="E24" s="8" t="s">
        <v>22</v>
      </c>
      <c r="F24" s="8" t="s">
        <v>26</v>
      </c>
      <c r="G24" s="5">
        <v>0.51200000000000001</v>
      </c>
      <c r="H24" s="5">
        <v>1.0089999999999999</v>
      </c>
      <c r="I24" s="5">
        <v>0.70599999999999996</v>
      </c>
      <c r="J24" s="6">
        <v>-0.11111111111111105</v>
      </c>
      <c r="K24" s="6">
        <v>2.9591836734693899E-2</v>
      </c>
      <c r="L24" s="6">
        <v>0.88770053475935828</v>
      </c>
      <c r="M24" s="5">
        <f>SUMIFS('2'!C:C,'2'!$A:$A,基础表!$E24,'2'!$B:$B,基础表!$F24)</f>
        <v>0.89400000000000002</v>
      </c>
      <c r="N24" s="5">
        <f>SUMIFS('2'!D:D,'2'!$A:$A,基础表!$E24,'2'!$B:$B,基础表!$F24)</f>
        <v>1.391</v>
      </c>
      <c r="O24" s="6">
        <f t="shared" si="1"/>
        <v>-0.35729690869877784</v>
      </c>
      <c r="P24" s="5">
        <f>SUMIFS('2'!F:F,'2'!$A:$A,基础表!$E24,'2'!$B:$B,基础表!$F24)</f>
        <v>1.161</v>
      </c>
      <c r="Q24" s="6">
        <f>SUMIFS('2'!G:G,'2'!$A:$A,基础表!$E24,'2'!$B:$B,基础表!$F24)</f>
        <v>0.77002583979328199</v>
      </c>
      <c r="R24" s="6">
        <f t="shared" si="2"/>
        <v>0.17897091722595079</v>
      </c>
      <c r="S24" s="6">
        <f t="shared" si="3"/>
        <v>0.1017897091722595</v>
      </c>
      <c r="T24" s="6">
        <f t="shared" si="4"/>
        <v>0.18232662192393737</v>
      </c>
      <c r="U24" s="6">
        <f t="shared" si="5"/>
        <v>0.1476510067114094</v>
      </c>
      <c r="V24" s="6">
        <f t="shared" si="6"/>
        <v>0.13422818791946309</v>
      </c>
      <c r="W24" s="6">
        <f t="shared" si="7"/>
        <v>0.16554809843400448</v>
      </c>
      <c r="X24" s="6">
        <f t="shared" si="8"/>
        <v>8.9485458612975396E-2</v>
      </c>
      <c r="Y24" s="6">
        <f t="shared" si="9"/>
        <v>0</v>
      </c>
      <c r="Z24" s="5">
        <f>SUMIFS('4'!C:C,'4'!$A:$A,基础表!$E24,'4'!$B:$B,基础表!$F24)</f>
        <v>0.16</v>
      </c>
      <c r="AA24" s="5">
        <f>SUMIFS('4'!D:D,'4'!$A:$A,基础表!$E24,'4'!$B:$B,基础表!$F24)</f>
        <v>9.0999999999999998E-2</v>
      </c>
      <c r="AB24" s="5">
        <f>SUMIFS('4'!E:E,'4'!$A:$A,基础表!$E24,'4'!$B:$B,基础表!$F24)</f>
        <v>0.16300000000000001</v>
      </c>
      <c r="AC24" s="5">
        <f>SUMIFS('4'!F:F,'4'!$A:$A,基础表!$E24,'4'!$B:$B,基础表!$F24)</f>
        <v>0.13200000000000001</v>
      </c>
      <c r="AD24" s="5">
        <f>SUMIFS('4'!G:G,'4'!$A:$A,基础表!$E24,'4'!$B:$B,基础表!$F24)</f>
        <v>0.12</v>
      </c>
      <c r="AE24" s="5">
        <f>SUMIFS('4'!H:H,'4'!$A:$A,基础表!$E24,'4'!$B:$B,基础表!$F24)</f>
        <v>0.14799999999999999</v>
      </c>
      <c r="AF24" s="5">
        <f>SUMIFS('4'!I:I,'4'!$A:$A,基础表!$E24,'4'!$B:$B,基础表!$F24)</f>
        <v>0.08</v>
      </c>
      <c r="AG24" s="5">
        <f>SUMIFS('4'!J:J,'4'!$A:$A,基础表!$E24,'4'!$B:$B,基础表!$F24)</f>
        <v>0</v>
      </c>
      <c r="AH24" s="143">
        <v>0.63200000000000001</v>
      </c>
      <c r="AI24" s="143">
        <v>0.91</v>
      </c>
      <c r="AJ24" s="143">
        <f t="shared" si="12"/>
        <v>0.27800000000000002</v>
      </c>
      <c r="AK24" s="6">
        <f>SUMIFS('3'!C:C,'3'!$A:$A,基础表!$E24,'3'!$B:$B,基础表!$F24)</f>
        <v>0.27552447552447601</v>
      </c>
      <c r="AL24" s="6">
        <f>SUMIFS('3'!D:D,'3'!$A:$A,基础表!$E24,'3'!$B:$B,基础表!$F24)</f>
        <v>0.953095684803002</v>
      </c>
      <c r="AM24" s="6">
        <f>SUMIFS('3'!E:E,'3'!$A:$A,基础表!$E24,'3'!$B:$B,基础表!$F24)</f>
        <v>0.27531956735496599</v>
      </c>
      <c r="AN24" s="6">
        <f>SUMIFS('3'!F:F,'3'!$A:$A,基础表!$E24,'3'!$B:$B,基础表!$F24)</f>
        <v>0.51412429378531099</v>
      </c>
      <c r="AO24" s="6">
        <f>SUMIFS('3'!G:G,'3'!$A:$A,基础表!$E24,'3'!$B:$B,基础表!$F24)</f>
        <v>0.350631136044881</v>
      </c>
      <c r="AP24" s="6">
        <f>SUMIFS('3'!H:H,'3'!$A:$A,基础表!$E24,'3'!$B:$B,基础表!$F24)</f>
        <v>0.59036144578313299</v>
      </c>
      <c r="AQ24" s="6">
        <f>SUMIFS('3'!I:I,'3'!$A:$A,基础表!$E24,'3'!$B:$B,基础表!$F24)</f>
        <v>0.59488692232055096</v>
      </c>
      <c r="AR24" s="6">
        <f>SUMIFS('3'!M:M,'3'!$K:$K,基础表!$E24,'3'!$L:$L,基础表!$F24)</f>
        <v>0.93421052631578905</v>
      </c>
      <c r="AS24" s="6">
        <f>SUMIFS('3'!N:N,'3'!$K:$K,基础表!$E24,'3'!$L:$L,基础表!$F24)</f>
        <v>1</v>
      </c>
    </row>
    <row r="25" spans="1:45" x14ac:dyDescent="0.2">
      <c r="C25" s="78">
        <f>RANK(D25,$D$5:$D$34)+COUNTIF($D$5:D25,D25)-1</f>
        <v>9</v>
      </c>
      <c r="D25" s="6">
        <f t="shared" si="15"/>
        <v>0.80577594414471609</v>
      </c>
      <c r="E25" s="8" t="s">
        <v>22</v>
      </c>
      <c r="F25" s="8" t="s">
        <v>27</v>
      </c>
      <c r="G25" s="5">
        <v>1.3540000000000001</v>
      </c>
      <c r="H25" s="5">
        <v>2.59</v>
      </c>
      <c r="I25" s="5">
        <v>1.895</v>
      </c>
      <c r="J25" s="6">
        <v>-0.11154855643044614</v>
      </c>
      <c r="K25" s="6">
        <v>1.1596443757246888E-3</v>
      </c>
      <c r="L25" s="6">
        <v>-0.17608695652173911</v>
      </c>
      <c r="M25" s="5">
        <f>SUMIFS('2'!C:C,'2'!$A:$A,基础表!$E25,'2'!$B:$B,基础表!$F25)</f>
        <v>2.5390000000000001</v>
      </c>
      <c r="N25" s="5">
        <f>SUMIFS('2'!D:D,'2'!$A:$A,基础表!$E25,'2'!$B:$B,基础表!$F25)</f>
        <v>3.12</v>
      </c>
      <c r="O25" s="6">
        <f t="shared" si="1"/>
        <v>-0.18621794871794872</v>
      </c>
      <c r="P25" s="5">
        <f>SUMIFS('2'!F:F,'2'!$A:$A,基础表!$E25,'2'!$B:$B,基础表!$F25)</f>
        <v>3.1509999999999998</v>
      </c>
      <c r="Q25" s="6">
        <f>SUMIFS('2'!G:G,'2'!$A:$A,基础表!$E25,'2'!$B:$B,基础表!$F25)</f>
        <v>0.80577594414471609</v>
      </c>
      <c r="R25" s="6">
        <f t="shared" si="2"/>
        <v>0.17920441118550609</v>
      </c>
      <c r="S25" s="6">
        <f t="shared" si="3"/>
        <v>0.13981882630957068</v>
      </c>
      <c r="T25" s="6">
        <f t="shared" si="4"/>
        <v>0.1851122489168964</v>
      </c>
      <c r="U25" s="6">
        <f t="shared" si="5"/>
        <v>0.1378495470657739</v>
      </c>
      <c r="V25" s="6">
        <f t="shared" si="6"/>
        <v>0.16266246553761321</v>
      </c>
      <c r="W25" s="6">
        <f t="shared" si="7"/>
        <v>0.14572666404096099</v>
      </c>
      <c r="X25" s="6">
        <f t="shared" si="8"/>
        <v>4.9625836943678614E-2</v>
      </c>
      <c r="Y25" s="6">
        <f t="shared" si="9"/>
        <v>0</v>
      </c>
      <c r="Z25" s="5">
        <f>SUMIFS('4'!C:C,'4'!$A:$A,基础表!$E25,'4'!$B:$B,基础表!$F25)</f>
        <v>0.45500000000000002</v>
      </c>
      <c r="AA25" s="5">
        <f>SUMIFS('4'!D:D,'4'!$A:$A,基础表!$E25,'4'!$B:$B,基础表!$F25)</f>
        <v>0.35499999999999998</v>
      </c>
      <c r="AB25" s="5">
        <f>SUMIFS('4'!E:E,'4'!$A:$A,基础表!$E25,'4'!$B:$B,基础表!$F25)</f>
        <v>0.47</v>
      </c>
      <c r="AC25" s="5">
        <f>SUMIFS('4'!F:F,'4'!$A:$A,基础表!$E25,'4'!$B:$B,基础表!$F25)</f>
        <v>0.35</v>
      </c>
      <c r="AD25" s="5">
        <f>SUMIFS('4'!G:G,'4'!$A:$A,基础表!$E25,'4'!$B:$B,基础表!$F25)</f>
        <v>0.41299999999999998</v>
      </c>
      <c r="AE25" s="5">
        <f>SUMIFS('4'!H:H,'4'!$A:$A,基础表!$E25,'4'!$B:$B,基础表!$F25)</f>
        <v>0.37</v>
      </c>
      <c r="AF25" s="5">
        <f>SUMIFS('4'!I:I,'4'!$A:$A,基础表!$E25,'4'!$B:$B,基础表!$F25)</f>
        <v>0.126</v>
      </c>
      <c r="AG25" s="5">
        <f>SUMIFS('4'!J:J,'4'!$A:$A,基础表!$E25,'4'!$B:$B,基础表!$F25)</f>
        <v>0</v>
      </c>
      <c r="AH25" s="143">
        <v>3.6070000000000002</v>
      </c>
      <c r="AI25" s="143">
        <v>3.4049999999999998</v>
      </c>
      <c r="AJ25" s="143">
        <f t="shared" si="12"/>
        <v>-0.2020000000000004</v>
      </c>
      <c r="AK25" s="6">
        <f>SUMIFS('3'!C:C,'3'!$A:$A,基础表!$E25,'3'!$B:$B,基础表!$F25)</f>
        <v>0.33600583090378999</v>
      </c>
      <c r="AL25" s="6">
        <f>SUMIFS('3'!D:D,'3'!$A:$A,基础表!$E25,'3'!$B:$B,基础表!$F25)</f>
        <v>0.93298969072164994</v>
      </c>
      <c r="AM25" s="6">
        <f>SUMIFS('3'!E:E,'3'!$A:$A,基础表!$E25,'3'!$B:$B,基础表!$F25)</f>
        <v>0.39392430278884499</v>
      </c>
      <c r="AN25" s="6">
        <f>SUMIFS('3'!F:F,'3'!$A:$A,基础表!$E25,'3'!$B:$B,基础表!$F25)</f>
        <v>0.63302752293578002</v>
      </c>
      <c r="AO25" s="6">
        <f>SUMIFS('3'!G:G,'3'!$A:$A,基础表!$E25,'3'!$B:$B,基础表!$F25)</f>
        <v>0.45912408759124096</v>
      </c>
      <c r="AP25" s="6">
        <f>SUMIFS('3'!H:H,'3'!$A:$A,基础表!$E25,'3'!$B:$B,基础表!$F25)</f>
        <v>0.596330275229358</v>
      </c>
      <c r="AQ25" s="6">
        <f>SUMIFS('3'!I:I,'3'!$A:$A,基础表!$E25,'3'!$B:$B,基础表!$F25)</f>
        <v>0.67928286852589592</v>
      </c>
      <c r="AR25" s="6">
        <f>SUMIFS('3'!M:M,'3'!$K:$K,基础表!$E25,'3'!$L:$L,基础表!$F25)</f>
        <v>1</v>
      </c>
      <c r="AS25" s="6">
        <f>SUMIFS('3'!N:N,'3'!$K:$K,基础表!$E25,'3'!$L:$L,基础表!$F25)</f>
        <v>1</v>
      </c>
    </row>
    <row r="26" spans="1:45" s="83" customFormat="1" x14ac:dyDescent="0.2">
      <c r="A26" s="83">
        <f>RANK(B26,$B$12:$B$34)</f>
        <v>4</v>
      </c>
      <c r="B26" s="84">
        <f>Q26</f>
        <v>0.75090909090909097</v>
      </c>
      <c r="C26" s="85"/>
      <c r="E26" s="86" t="s">
        <v>22</v>
      </c>
      <c r="F26" s="86" t="s">
        <v>4</v>
      </c>
      <c r="G26" s="87">
        <v>4.72</v>
      </c>
      <c r="H26" s="87">
        <v>8.9269999999999996</v>
      </c>
      <c r="I26" s="87">
        <v>6.71</v>
      </c>
      <c r="J26" s="88">
        <v>-9.8376313276026806E-2</v>
      </c>
      <c r="K26" s="88">
        <v>1.6163915765509351E-2</v>
      </c>
      <c r="L26" s="88">
        <v>-5.6258790436005679E-2</v>
      </c>
      <c r="M26" s="87">
        <f>SUMIFS('2'!C:C,'2'!$A:$A,基础表!$E26,'2'!$B:$B,基础表!$F26)</f>
        <v>8.26</v>
      </c>
      <c r="N26" s="87">
        <f>SUMIFS('2'!D:D,'2'!$A:$A,基础表!$E26,'2'!$B:$B,基础表!$F26)</f>
        <v>11.04</v>
      </c>
      <c r="O26" s="88">
        <f t="shared" si="1"/>
        <v>-0.25181159420289856</v>
      </c>
      <c r="P26" s="87">
        <f>SUMIFS('2'!F:F,'2'!$A:$A,基础表!$E26,'2'!$B:$B,基础表!$F26)</f>
        <v>11</v>
      </c>
      <c r="Q26" s="88">
        <f>SUMIFS('2'!G:G,'2'!$A:$A,基础表!$E26,'2'!$B:$B,基础表!$F26)</f>
        <v>0.75090909090909097</v>
      </c>
      <c r="R26" s="88">
        <f t="shared" si="2"/>
        <v>0.17820823244552059</v>
      </c>
      <c r="S26" s="88">
        <f t="shared" si="3"/>
        <v>0.11476997578692494</v>
      </c>
      <c r="T26" s="88">
        <f t="shared" si="4"/>
        <v>0.17288135593220338</v>
      </c>
      <c r="U26" s="88">
        <f t="shared" si="5"/>
        <v>0.1357142857142857</v>
      </c>
      <c r="V26" s="88">
        <f t="shared" si="6"/>
        <v>0.15302663438256658</v>
      </c>
      <c r="W26" s="88">
        <f t="shared" si="7"/>
        <v>0.13922518159806294</v>
      </c>
      <c r="X26" s="88">
        <f t="shared" si="8"/>
        <v>0.10617433414043584</v>
      </c>
      <c r="Y26" s="88">
        <f t="shared" si="9"/>
        <v>0</v>
      </c>
      <c r="Z26" s="87">
        <f>SUMIFS('4'!C:C,'4'!$A:$A,基础表!$E26,'4'!$B:$B,基础表!$F26)</f>
        <v>1.472</v>
      </c>
      <c r="AA26" s="87">
        <f>SUMIFS('4'!D:D,'4'!$A:$A,基础表!$E26,'4'!$B:$B,基础表!$F26)</f>
        <v>0.94799999999999995</v>
      </c>
      <c r="AB26" s="87">
        <f>SUMIFS('4'!E:E,'4'!$A:$A,基础表!$E26,'4'!$B:$B,基础表!$F26)</f>
        <v>1.4279999999999999</v>
      </c>
      <c r="AC26" s="87">
        <f>SUMIFS('4'!F:F,'4'!$A:$A,基础表!$E26,'4'!$B:$B,基础表!$F26)</f>
        <v>1.121</v>
      </c>
      <c r="AD26" s="87">
        <f>SUMIFS('4'!G:G,'4'!$A:$A,基础表!$E26,'4'!$B:$B,基础表!$F26)</f>
        <v>1.264</v>
      </c>
      <c r="AE26" s="87">
        <f>SUMIFS('4'!H:H,'4'!$A:$A,基础表!$E26,'4'!$B:$B,基础表!$F26)</f>
        <v>1.1499999999999999</v>
      </c>
      <c r="AF26" s="87">
        <f>SUMIFS('4'!I:I,'4'!$A:$A,基础表!$E26,'4'!$B:$B,基础表!$F26)</f>
        <v>0.877</v>
      </c>
      <c r="AG26" s="87">
        <f>SUMIFS('4'!J:J,'4'!$A:$A,基础表!$E26,'4'!$B:$B,基础表!$F26)</f>
        <v>0</v>
      </c>
      <c r="AH26" s="144">
        <v>9.8829999999999991</v>
      </c>
      <c r="AI26" s="144">
        <f>SUM(AI21:AI25)</f>
        <v>10.154999999999999</v>
      </c>
      <c r="AJ26" s="144">
        <f t="shared" si="12"/>
        <v>0.27200000000000024</v>
      </c>
      <c r="AK26" s="88">
        <f>SUMIFS('3'!C:C,'3'!$A:$A,基础表!$E26,'3'!$B:$B,基础表!$F26)</f>
        <v>0.32895696571845401</v>
      </c>
      <c r="AL26" s="88">
        <f>SUMIFS('3'!D:D,'3'!$A:$A,基础表!$E26,'3'!$B:$B,基础表!$F26)</f>
        <v>0.89766763848396491</v>
      </c>
      <c r="AM26" s="88">
        <f>SUMIFS('3'!E:E,'3'!$A:$A,基础表!$E26,'3'!$B:$B,基础表!$F26)</f>
        <v>0.38382611043607395</v>
      </c>
      <c r="AN26" s="88">
        <f>SUMIFS('3'!F:F,'3'!$A:$A,基础表!$E26,'3'!$B:$B,基础表!$F26)</f>
        <v>0.58146487294469407</v>
      </c>
      <c r="AO26" s="88">
        <f>SUMIFS('3'!G:G,'3'!$A:$A,基础表!$E26,'3'!$B:$B,基础表!$F26)</f>
        <v>0.43329678362573099</v>
      </c>
      <c r="AP26" s="88">
        <f>SUMIFS('3'!H:H,'3'!$A:$A,基础表!$E26,'3'!$B:$B,基础表!$F26)</f>
        <v>0.53178294573643403</v>
      </c>
      <c r="AQ26" s="88">
        <f>SUMIFS('3'!I:I,'3'!$A:$A,基础表!$E26,'3'!$B:$B,基础表!$F26)</f>
        <v>0.63737005535304403</v>
      </c>
      <c r="AR26" s="88">
        <f>SUMIFS('3'!M:M,'3'!$K:$K,基础表!$E26,'3'!$L:$L,基础表!$F26)</f>
        <v>0.91304347826086996</v>
      </c>
      <c r="AS26" s="88">
        <f>SUMIFS('3'!N:N,'3'!$K:$K,基础表!$E26,'3'!$L:$L,基础表!$F26)</f>
        <v>1</v>
      </c>
    </row>
    <row r="27" spans="1:45" x14ac:dyDescent="0.2">
      <c r="C27" s="78">
        <f>RANK(D27,$D$5:$D$34)+COUNTIF($D$5:D27,D27)-1</f>
        <v>22</v>
      </c>
      <c r="D27" s="6">
        <f t="shared" ref="D27:D34" si="16">Q27</f>
        <v>0.55062305295950198</v>
      </c>
      <c r="E27" s="8" t="s">
        <v>28</v>
      </c>
      <c r="F27" s="8" t="s">
        <v>29</v>
      </c>
      <c r="G27" s="5">
        <v>0.622</v>
      </c>
      <c r="H27" s="5">
        <v>1.2370000000000001</v>
      </c>
      <c r="I27" s="5">
        <v>0.73099999999999998</v>
      </c>
      <c r="J27" s="6">
        <v>-0.12640449438202239</v>
      </c>
      <c r="K27" s="6">
        <v>1.8945634266886335E-2</v>
      </c>
      <c r="L27" s="6">
        <v>0.23898305084745775</v>
      </c>
      <c r="M27" s="5">
        <f>SUMIFS('2'!C:C,'2'!$A:$A,基础表!$E27,'2'!$B:$B,基础表!$F27)</f>
        <v>0.70699999999999996</v>
      </c>
      <c r="N27" s="5">
        <f>SUMIFS('2'!D:D,'2'!$A:$A,基础表!$E27,'2'!$B:$B,基础表!$F27)</f>
        <v>1.3260000000000001</v>
      </c>
      <c r="O27" s="6">
        <f t="shared" si="1"/>
        <v>-0.46681749622926094</v>
      </c>
      <c r="P27" s="5">
        <f>SUMIFS('2'!F:F,'2'!$A:$A,基础表!$E27,'2'!$B:$B,基础表!$F27)</f>
        <v>1.284</v>
      </c>
      <c r="Q27" s="6">
        <f>SUMIFS('2'!G:G,'2'!$A:$A,基础表!$E27,'2'!$B:$B,基础表!$F27)</f>
        <v>0.55062305295950198</v>
      </c>
      <c r="R27" s="6">
        <f t="shared" si="2"/>
        <v>9.0523338048090526E-2</v>
      </c>
      <c r="S27" s="6">
        <f t="shared" si="3"/>
        <v>0.1471004243281471</v>
      </c>
      <c r="T27" s="6">
        <f t="shared" si="4"/>
        <v>0.21357850070721357</v>
      </c>
      <c r="U27" s="6">
        <f t="shared" si="5"/>
        <v>0.12729844413012731</v>
      </c>
      <c r="V27" s="6">
        <f t="shared" si="6"/>
        <v>0.17538896746817539</v>
      </c>
      <c r="W27" s="6">
        <f t="shared" si="7"/>
        <v>0.12305516265912306</v>
      </c>
      <c r="X27" s="6">
        <f t="shared" si="8"/>
        <v>0.12305516265912306</v>
      </c>
      <c r="Y27" s="6">
        <f t="shared" si="9"/>
        <v>0</v>
      </c>
      <c r="Z27" s="5">
        <f>SUMIFS('4'!C:C,'4'!$A:$A,基础表!$E27,'4'!$B:$B,基础表!$F27)</f>
        <v>6.4000000000000001E-2</v>
      </c>
      <c r="AA27" s="5">
        <f>SUMIFS('4'!D:D,'4'!$A:$A,基础表!$E27,'4'!$B:$B,基础表!$F27)</f>
        <v>0.104</v>
      </c>
      <c r="AB27" s="5">
        <f>SUMIFS('4'!E:E,'4'!$A:$A,基础表!$E27,'4'!$B:$B,基础表!$F27)</f>
        <v>0.151</v>
      </c>
      <c r="AC27" s="5">
        <f>SUMIFS('4'!F:F,'4'!$A:$A,基础表!$E27,'4'!$B:$B,基础表!$F27)</f>
        <v>0.09</v>
      </c>
      <c r="AD27" s="5">
        <f>SUMIFS('4'!G:G,'4'!$A:$A,基础表!$E27,'4'!$B:$B,基础表!$F27)</f>
        <v>0.124</v>
      </c>
      <c r="AE27" s="5">
        <f>SUMIFS('4'!H:H,'4'!$A:$A,基础表!$E27,'4'!$B:$B,基础表!$F27)</f>
        <v>8.6999999999999994E-2</v>
      </c>
      <c r="AF27" s="5">
        <f>SUMIFS('4'!I:I,'4'!$A:$A,基础表!$E27,'4'!$B:$B,基础表!$F27)</f>
        <v>8.6999999999999994E-2</v>
      </c>
      <c r="AG27" s="5">
        <f>SUMIFS('4'!J:J,'4'!$A:$A,基础表!$E27,'4'!$B:$B,基础表!$F27)</f>
        <v>0</v>
      </c>
      <c r="AH27" s="143">
        <v>0.45</v>
      </c>
      <c r="AI27" s="143">
        <v>0.42599999999999999</v>
      </c>
      <c r="AJ27" s="143">
        <f t="shared" si="12"/>
        <v>-2.4000000000000021E-2</v>
      </c>
      <c r="AK27" s="6">
        <f>SUMIFS('3'!C:C,'3'!$A:$A,基础表!$E27,'3'!$B:$B,基础表!$F27)</f>
        <v>0.22664359861591699</v>
      </c>
      <c r="AL27" s="6">
        <f>SUMIFS('3'!D:D,'3'!$A:$A,基础表!$E27,'3'!$B:$B,基础表!$F27)</f>
        <v>0.920595533498759</v>
      </c>
      <c r="AM27" s="6">
        <f>SUMIFS('3'!E:E,'3'!$A:$A,基础表!$E27,'3'!$B:$B,基础表!$F27)</f>
        <v>0.48537234042553201</v>
      </c>
      <c r="AN27" s="6">
        <f>SUMIFS('3'!F:F,'3'!$A:$A,基础表!$E27,'3'!$B:$B,基础表!$F27)</f>
        <v>0.585798816568047</v>
      </c>
      <c r="AO27" s="6">
        <f>SUMIFS('3'!G:G,'3'!$A:$A,基础表!$E27,'3'!$B:$B,基础表!$F27)</f>
        <v>0.447140381282496</v>
      </c>
      <c r="AP27" s="6">
        <f>SUMIFS('3'!H:H,'3'!$A:$A,基础表!$E27,'3'!$B:$B,基础表!$F27)</f>
        <v>0.351190476190476</v>
      </c>
      <c r="AQ27" s="6">
        <f>SUMIFS('3'!I:I,'3'!$A:$A,基础表!$E27,'3'!$B:$B,基础表!$F27)</f>
        <v>0.78856382978723405</v>
      </c>
      <c r="AR27" s="6">
        <f>SUMIFS('3'!M:M,'3'!$K:$K,基础表!$E27,'3'!$L:$L,基础表!$F27)</f>
        <v>0.939393939393939</v>
      </c>
      <c r="AS27" s="6">
        <f>SUMIFS('3'!N:N,'3'!$K:$K,基础表!$E27,'3'!$L:$L,基础表!$F27)</f>
        <v>1</v>
      </c>
    </row>
    <row r="28" spans="1:45" x14ac:dyDescent="0.2">
      <c r="C28" s="78">
        <f>RANK(D28,$D$5:$D$34)+COUNTIF($D$5:D28,D28)-1</f>
        <v>26</v>
      </c>
      <c r="D28" s="6">
        <f t="shared" si="16"/>
        <v>0.38888888888888901</v>
      </c>
      <c r="E28" s="8" t="s">
        <v>28</v>
      </c>
      <c r="F28" s="8" t="s">
        <v>30</v>
      </c>
      <c r="G28" s="5">
        <v>0.307</v>
      </c>
      <c r="H28" s="5">
        <v>0.63</v>
      </c>
      <c r="I28" s="5">
        <v>0.54600000000000004</v>
      </c>
      <c r="J28" s="6">
        <v>-5.8282208588957052E-2</v>
      </c>
      <c r="K28" s="6">
        <v>3.4482758620689724E-2</v>
      </c>
      <c r="L28" s="6">
        <v>5.4054054054054168E-2</v>
      </c>
      <c r="M28" s="5">
        <f>SUMIFS('2'!C:C,'2'!$A:$A,基础表!$E28,'2'!$B:$B,基础表!$F28)</f>
        <v>0.29399999999999998</v>
      </c>
      <c r="N28" s="5">
        <f>SUMIFS('2'!D:D,'2'!$A:$A,基础表!$E28,'2'!$B:$B,基础表!$F28)</f>
        <v>0.50900000000000001</v>
      </c>
      <c r="O28" s="6">
        <f t="shared" si="1"/>
        <v>-0.42239685658153248</v>
      </c>
      <c r="P28" s="5">
        <f>SUMIFS('2'!F:F,'2'!$A:$A,基础表!$E28,'2'!$B:$B,基础表!$F28)</f>
        <v>0.75600000000000001</v>
      </c>
      <c r="Q28" s="6">
        <f>SUMIFS('2'!G:G,'2'!$A:$A,基础表!$E28,'2'!$B:$B,基础表!$F28)</f>
        <v>0.38888888888888901</v>
      </c>
      <c r="R28" s="6">
        <f t="shared" si="2"/>
        <v>0.2142857142857143</v>
      </c>
      <c r="S28" s="6">
        <f t="shared" si="3"/>
        <v>7.1428571428571438E-2</v>
      </c>
      <c r="T28" s="6">
        <f t="shared" si="4"/>
        <v>0.19047619047619049</v>
      </c>
      <c r="U28" s="6">
        <f t="shared" si="5"/>
        <v>0.17006802721088438</v>
      </c>
      <c r="V28" s="6">
        <f t="shared" si="6"/>
        <v>8.5034013605442188E-2</v>
      </c>
      <c r="W28" s="6">
        <f t="shared" si="7"/>
        <v>6.1224489795918366E-2</v>
      </c>
      <c r="X28" s="6">
        <f t="shared" si="8"/>
        <v>0.20748299319727892</v>
      </c>
      <c r="Y28" s="6">
        <f t="shared" si="9"/>
        <v>0</v>
      </c>
      <c r="Z28" s="5">
        <f>SUMIFS('4'!C:C,'4'!$A:$A,基础表!$E28,'4'!$B:$B,基础表!$F28)</f>
        <v>6.3E-2</v>
      </c>
      <c r="AA28" s="5">
        <f>SUMIFS('4'!D:D,'4'!$A:$A,基础表!$E28,'4'!$B:$B,基础表!$F28)</f>
        <v>2.1000000000000001E-2</v>
      </c>
      <c r="AB28" s="5">
        <f>SUMIFS('4'!E:E,'4'!$A:$A,基础表!$E28,'4'!$B:$B,基础表!$F28)</f>
        <v>5.6000000000000001E-2</v>
      </c>
      <c r="AC28" s="5">
        <f>SUMIFS('4'!F:F,'4'!$A:$A,基础表!$E28,'4'!$B:$B,基础表!$F28)</f>
        <v>0.05</v>
      </c>
      <c r="AD28" s="5">
        <f>SUMIFS('4'!G:G,'4'!$A:$A,基础表!$E28,'4'!$B:$B,基础表!$F28)</f>
        <v>2.5000000000000001E-2</v>
      </c>
      <c r="AE28" s="5">
        <f>SUMIFS('4'!H:H,'4'!$A:$A,基础表!$E28,'4'!$B:$B,基础表!$F28)</f>
        <v>1.7999999999999999E-2</v>
      </c>
      <c r="AF28" s="5">
        <f>SUMIFS('4'!I:I,'4'!$A:$A,基础表!$E28,'4'!$B:$B,基础表!$F28)</f>
        <v>6.0999999999999999E-2</v>
      </c>
      <c r="AG28" s="5">
        <f>SUMIFS('4'!J:J,'4'!$A:$A,基础表!$E28,'4'!$B:$B,基础表!$F28)</f>
        <v>0</v>
      </c>
      <c r="AH28" s="143">
        <v>0.42099999999999999</v>
      </c>
      <c r="AI28" s="143">
        <v>0.39100000000000001</v>
      </c>
      <c r="AJ28" s="143">
        <f t="shared" si="12"/>
        <v>-2.9999999999999971E-2</v>
      </c>
      <c r="AK28" s="6">
        <f>SUMIFS('3'!C:C,'3'!$A:$A,基础表!$E28,'3'!$B:$B,基础表!$F28)</f>
        <v>0.29646017699115002</v>
      </c>
      <c r="AL28" s="6">
        <f>SUMIFS('3'!D:D,'3'!$A:$A,基础表!$E28,'3'!$B:$B,基础表!$F28)</f>
        <v>0.918604651162791</v>
      </c>
      <c r="AM28" s="6">
        <f>SUMIFS('3'!E:E,'3'!$A:$A,基础表!$E28,'3'!$B:$B,基础表!$F28)</f>
        <v>0.43368107302533504</v>
      </c>
      <c r="AN28" s="6">
        <f>SUMIFS('3'!F:F,'3'!$A:$A,基础表!$E28,'3'!$B:$B,基础表!$F28)</f>
        <v>0.55284552845528501</v>
      </c>
      <c r="AO28" s="6">
        <f>SUMIFS('3'!G:G,'3'!$A:$A,基础表!$E28,'3'!$B:$B,基础表!$F28)</f>
        <v>0.38409090909090898</v>
      </c>
      <c r="AP28" s="6">
        <f>SUMIFS('3'!H:H,'3'!$A:$A,基础表!$E28,'3'!$B:$B,基础表!$F28)</f>
        <v>0.36065573770491804</v>
      </c>
      <c r="AQ28" s="6">
        <f>SUMIFS('3'!I:I,'3'!$A:$A,基础表!$E28,'3'!$B:$B,基础表!$F28)</f>
        <v>0.79582712369597597</v>
      </c>
      <c r="AR28" s="6">
        <f>SUMIFS('3'!M:M,'3'!$K:$K,基础表!$E28,'3'!$L:$L,基础表!$F28)</f>
        <v>0.91666666666666696</v>
      </c>
      <c r="AS28" s="6">
        <f>SUMIFS('3'!N:N,'3'!$K:$K,基础表!$E28,'3'!$L:$L,基础表!$F28)</f>
        <v>1</v>
      </c>
    </row>
    <row r="29" spans="1:45" x14ac:dyDescent="0.2">
      <c r="C29" s="78">
        <f>RANK(D29,$D$5:$D$34)+COUNTIF($D$5:D29,D29)-1</f>
        <v>2</v>
      </c>
      <c r="D29" s="6">
        <f t="shared" si="16"/>
        <v>1.1086723768736599</v>
      </c>
      <c r="E29" s="8" t="s">
        <v>28</v>
      </c>
      <c r="F29" s="8" t="s">
        <v>31</v>
      </c>
      <c r="G29" s="5">
        <v>1.004</v>
      </c>
      <c r="H29" s="5">
        <v>2.5910000000000002</v>
      </c>
      <c r="I29" s="5">
        <v>2.58</v>
      </c>
      <c r="J29" s="6">
        <v>-0.14698385726423113</v>
      </c>
      <c r="K29" s="6">
        <v>-3.4649776453055114E-2</v>
      </c>
      <c r="L29" s="6">
        <v>-0.13509889373114314</v>
      </c>
      <c r="M29" s="5">
        <f>SUMIFS('2'!C:C,'2'!$A:$A,基础表!$E29,'2'!$B:$B,基础表!$F29)</f>
        <v>2.0710000000000002</v>
      </c>
      <c r="N29" s="5">
        <f>SUMIFS('2'!D:D,'2'!$A:$A,基础表!$E29,'2'!$B:$B,基础表!$F29)</f>
        <v>2.34</v>
      </c>
      <c r="O29" s="6">
        <f t="shared" si="1"/>
        <v>-0.11495726495726488</v>
      </c>
      <c r="P29" s="5">
        <f>SUMIFS('2'!F:F,'2'!$A:$A,基础表!$E29,'2'!$B:$B,基础表!$F29)</f>
        <v>1.8680000000000001</v>
      </c>
      <c r="Q29" s="6">
        <f>SUMIFS('2'!G:G,'2'!$A:$A,基础表!$E29,'2'!$B:$B,基础表!$F29)</f>
        <v>1.1086723768736599</v>
      </c>
      <c r="R29" s="6">
        <f t="shared" si="2"/>
        <v>0.17141477547078704</v>
      </c>
      <c r="S29" s="6">
        <f t="shared" si="3"/>
        <v>0.12554321583775954</v>
      </c>
      <c r="T29" s="6">
        <f t="shared" si="4"/>
        <v>0.14292612264606469</v>
      </c>
      <c r="U29" s="6">
        <f t="shared" si="5"/>
        <v>0.1183003380009657</v>
      </c>
      <c r="V29" s="6">
        <f t="shared" si="6"/>
        <v>0.14002897151134716</v>
      </c>
      <c r="W29" s="6">
        <f t="shared" si="7"/>
        <v>0.1521004345726702</v>
      </c>
      <c r="X29" s="6">
        <f t="shared" si="8"/>
        <v>0.14968614196040558</v>
      </c>
      <c r="Y29" s="6">
        <f t="shared" si="9"/>
        <v>0</v>
      </c>
      <c r="Z29" s="5">
        <f>SUMIFS('4'!C:C,'4'!$A:$A,基础表!$E29,'4'!$B:$B,基础表!$F29)</f>
        <v>0.35499999999999998</v>
      </c>
      <c r="AA29" s="5">
        <f>SUMIFS('4'!D:D,'4'!$A:$A,基础表!$E29,'4'!$B:$B,基础表!$F29)</f>
        <v>0.26</v>
      </c>
      <c r="AB29" s="5">
        <f>SUMIFS('4'!E:E,'4'!$A:$A,基础表!$E29,'4'!$B:$B,基础表!$F29)</f>
        <v>0.29599999999999999</v>
      </c>
      <c r="AC29" s="5">
        <f>SUMIFS('4'!F:F,'4'!$A:$A,基础表!$E29,'4'!$B:$B,基础表!$F29)</f>
        <v>0.245</v>
      </c>
      <c r="AD29" s="5">
        <f>SUMIFS('4'!G:G,'4'!$A:$A,基础表!$E29,'4'!$B:$B,基础表!$F29)</f>
        <v>0.28999999999999998</v>
      </c>
      <c r="AE29" s="5">
        <f>SUMIFS('4'!H:H,'4'!$A:$A,基础表!$E29,'4'!$B:$B,基础表!$F29)</f>
        <v>0.315</v>
      </c>
      <c r="AF29" s="5">
        <f>SUMIFS('4'!I:I,'4'!$A:$A,基础表!$E29,'4'!$B:$B,基础表!$F29)</f>
        <v>0.31</v>
      </c>
      <c r="AG29" s="5">
        <f>SUMIFS('4'!J:J,'4'!$A:$A,基础表!$E29,'4'!$B:$B,基础表!$F29)</f>
        <v>0</v>
      </c>
      <c r="AH29" s="143">
        <v>2.4239999999999999</v>
      </c>
      <c r="AI29" s="143">
        <v>2.35</v>
      </c>
      <c r="AJ29" s="143">
        <f t="shared" si="12"/>
        <v>-7.3999999999999844E-2</v>
      </c>
      <c r="AK29" s="6">
        <f>SUMIFS('3'!C:C,'3'!$A:$A,基础表!$E29,'3'!$B:$B,基础表!$F29)</f>
        <v>0.83747831116252203</v>
      </c>
      <c r="AL29" s="6">
        <f>SUMIFS('3'!D:D,'3'!$A:$A,基础表!$E29,'3'!$B:$B,基础表!$F29)</f>
        <v>0.90214067278287502</v>
      </c>
      <c r="AM29" s="6">
        <f>SUMIFS('3'!E:E,'3'!$A:$A,基础表!$E29,'3'!$B:$B,基础表!$F29)</f>
        <v>0.82264716910386193</v>
      </c>
      <c r="AN29" s="6">
        <f>SUMIFS('3'!F:F,'3'!$A:$A,基础表!$E29,'3'!$B:$B,基础表!$F29)</f>
        <v>0.87272727272727291</v>
      </c>
      <c r="AO29" s="6">
        <f>SUMIFS('3'!G:G,'3'!$A:$A,基础表!$E29,'3'!$B:$B,基础表!$F29)</f>
        <v>0.87419918462434498</v>
      </c>
      <c r="AP29" s="6">
        <f>SUMIFS('3'!H:H,'3'!$A:$A,基础表!$E29,'3'!$B:$B,基础表!$F29)</f>
        <v>0.89634146341463405</v>
      </c>
      <c r="AQ29" s="6">
        <f>SUMIFS('3'!I:I,'3'!$A:$A,基础表!$E29,'3'!$B:$B,基础表!$F29)</f>
        <v>0.86951631046119204</v>
      </c>
      <c r="AR29" s="6">
        <f>SUMIFS('3'!M:M,'3'!$K:$K,基础表!$E29,'3'!$L:$L,基础表!$F29)</f>
        <v>0.93333333333333302</v>
      </c>
      <c r="AS29" s="6">
        <f>SUMIFS('3'!N:N,'3'!$K:$K,基础表!$E29,'3'!$L:$L,基础表!$F29)</f>
        <v>1</v>
      </c>
    </row>
    <row r="30" spans="1:45" x14ac:dyDescent="0.2">
      <c r="C30" s="78">
        <f>RANK(D30,$D$5:$D$34)+COUNTIF($D$5:D30,D30)-1</f>
        <v>23</v>
      </c>
      <c r="D30" s="6">
        <f t="shared" si="16"/>
        <v>0.54917319408180998</v>
      </c>
      <c r="E30" s="8" t="s">
        <v>28</v>
      </c>
      <c r="F30" s="8" t="s">
        <v>68</v>
      </c>
      <c r="G30" s="5">
        <v>1.0820000000000001</v>
      </c>
      <c r="H30" s="5">
        <v>2.234</v>
      </c>
      <c r="I30" s="5">
        <v>1.452</v>
      </c>
      <c r="J30" s="6">
        <v>-5.5021834061135366E-2</v>
      </c>
      <c r="K30" s="6">
        <v>7.6626506024096264E-2</v>
      </c>
      <c r="L30" s="6">
        <v>-0.12106537530266337</v>
      </c>
      <c r="M30" s="5">
        <f>SUMIFS('2'!C:C,'2'!$A:$A,基础表!$E30,'2'!$B:$B,基础表!$F30)</f>
        <v>1.262</v>
      </c>
      <c r="N30" s="5">
        <f>SUMIFS('2'!D:D,'2'!$A:$A,基础表!$E30,'2'!$B:$B,基础表!$F30)</f>
        <v>2.1640000000000001</v>
      </c>
      <c r="O30" s="6">
        <f t="shared" si="1"/>
        <v>-0.41682070240295754</v>
      </c>
      <c r="P30" s="5">
        <f>SUMIFS('2'!F:F,'2'!$A:$A,基础表!$E30,'2'!$B:$B,基础表!$F30)</f>
        <v>2.298</v>
      </c>
      <c r="Q30" s="6">
        <f>SUMIFS('2'!G:G,'2'!$A:$A,基础表!$E30,'2'!$B:$B,基础表!$F30)</f>
        <v>0.54917319408180998</v>
      </c>
      <c r="R30" s="6">
        <f t="shared" si="2"/>
        <v>0.12282091917591124</v>
      </c>
      <c r="S30" s="6">
        <f t="shared" si="3"/>
        <v>0.1347068145800317</v>
      </c>
      <c r="T30" s="6">
        <f t="shared" si="4"/>
        <v>0.19413629160063392</v>
      </c>
      <c r="U30" s="6">
        <f t="shared" si="5"/>
        <v>0.14025356576862122</v>
      </c>
      <c r="V30" s="6">
        <f t="shared" si="6"/>
        <v>0.1347068145800317</v>
      </c>
      <c r="W30" s="6">
        <f t="shared" si="7"/>
        <v>0.16244057052297939</v>
      </c>
      <c r="X30" s="6">
        <f t="shared" si="8"/>
        <v>0.11093502377179082</v>
      </c>
      <c r="Y30" s="6">
        <f t="shared" si="9"/>
        <v>0</v>
      </c>
      <c r="Z30" s="5">
        <f>SUMIFS('4'!C:C,'4'!$A:$A,基础表!$E30,'4'!$B:$B,基础表!$F30)</f>
        <v>0.155</v>
      </c>
      <c r="AA30" s="5">
        <f>SUMIFS('4'!D:D,'4'!$A:$A,基础表!$E30,'4'!$B:$B,基础表!$F30)</f>
        <v>0.17</v>
      </c>
      <c r="AB30" s="5">
        <f>SUMIFS('4'!E:E,'4'!$A:$A,基础表!$E30,'4'!$B:$B,基础表!$F30)</f>
        <v>0.245</v>
      </c>
      <c r="AC30" s="5">
        <f>SUMIFS('4'!F:F,'4'!$A:$A,基础表!$E30,'4'!$B:$B,基础表!$F30)</f>
        <v>0.17699999999999999</v>
      </c>
      <c r="AD30" s="5">
        <f>SUMIFS('4'!G:G,'4'!$A:$A,基础表!$E30,'4'!$B:$B,基础表!$F30)</f>
        <v>0.17</v>
      </c>
      <c r="AE30" s="5">
        <f>SUMIFS('4'!H:H,'4'!$A:$A,基础表!$E30,'4'!$B:$B,基础表!$F30)</f>
        <v>0.20499999999999999</v>
      </c>
      <c r="AF30" s="5">
        <f>SUMIFS('4'!I:I,'4'!$A:$A,基础表!$E30,'4'!$B:$B,基础表!$F30)</f>
        <v>0.14000000000000001</v>
      </c>
      <c r="AG30" s="5">
        <f>SUMIFS('4'!J:J,'4'!$A:$A,基础表!$E30,'4'!$B:$B,基础表!$F30)</f>
        <v>0</v>
      </c>
      <c r="AH30" s="143">
        <v>1.7609999999999999</v>
      </c>
      <c r="AI30" s="143">
        <v>1.7190000000000001</v>
      </c>
      <c r="AJ30" s="143">
        <f t="shared" si="12"/>
        <v>-4.1999999999999815E-2</v>
      </c>
      <c r="AK30" s="6">
        <f>SUMIFS('3'!C:C,'3'!$A:$A,基础表!$E30,'3'!$B:$B,基础表!$F30)</f>
        <v>0.57884231536926101</v>
      </c>
      <c r="AL30" s="6">
        <f>SUMIFS('3'!D:D,'3'!$A:$A,基础表!$E30,'3'!$B:$B,基础表!$F30)</f>
        <v>0.86350148367952495</v>
      </c>
      <c r="AM30" s="6">
        <f>SUMIFS('3'!E:E,'3'!$A:$A,基础表!$E30,'3'!$B:$B,基础表!$F30)</f>
        <v>0.68842224744608405</v>
      </c>
      <c r="AN30" s="6">
        <f>SUMIFS('3'!F:F,'3'!$A:$A,基础表!$E30,'3'!$B:$B,基础表!$F30)</f>
        <v>0.62011173184357504</v>
      </c>
      <c r="AO30" s="6">
        <f>SUMIFS('3'!G:G,'3'!$A:$A,基础表!$E30,'3'!$B:$B,基础表!$F30)</f>
        <v>0.64235764235764192</v>
      </c>
      <c r="AP30" s="6">
        <f>SUMIFS('3'!H:H,'3'!$A:$A,基础表!$E30,'3'!$B:$B,基础表!$F30)</f>
        <v>0.63068181818181801</v>
      </c>
      <c r="AQ30" s="6">
        <f>SUMIFS('3'!I:I,'3'!$A:$A,基础表!$E30,'3'!$B:$B,基础表!$F30)</f>
        <v>0.78830874006810403</v>
      </c>
      <c r="AR30" s="6">
        <f>SUMIFS('3'!M:M,'3'!$K:$K,基础表!$E30,'3'!$L:$L,基础表!$F30)</f>
        <v>0.95</v>
      </c>
      <c r="AS30" s="6">
        <f>SUMIFS('3'!N:N,'3'!$K:$K,基础表!$E30,'3'!$L:$L,基础表!$F30)</f>
        <v>1</v>
      </c>
    </row>
    <row r="31" spans="1:45" x14ac:dyDescent="0.2">
      <c r="C31" s="78">
        <f>RANK(D31,$D$5:$D$34)+COUNTIF($D$5:D31,D31)-1</f>
        <v>3</v>
      </c>
      <c r="D31" s="6">
        <f t="shared" si="16"/>
        <v>1.02513227513228</v>
      </c>
      <c r="E31" s="8" t="s">
        <v>28</v>
      </c>
      <c r="F31" s="8" t="s">
        <v>32</v>
      </c>
      <c r="G31" s="5">
        <v>0.86899999999999999</v>
      </c>
      <c r="H31" s="5">
        <v>1.8839999999999999</v>
      </c>
      <c r="I31" s="5">
        <v>1.262</v>
      </c>
      <c r="J31" s="6">
        <v>-0.14215202369200386</v>
      </c>
      <c r="K31" s="6">
        <v>1.6729627630868826E-2</v>
      </c>
      <c r="L31" s="6">
        <v>0.12078152753108351</v>
      </c>
      <c r="M31" s="5">
        <f>SUMIFS('2'!C:C,'2'!$A:$A,基础表!$E31,'2'!$B:$B,基础表!$F31)</f>
        <v>1.55</v>
      </c>
      <c r="N31" s="5">
        <f>SUMIFS('2'!D:D,'2'!$A:$A,基础表!$E31,'2'!$B:$B,基础表!$F31)</f>
        <v>2.0550000000000002</v>
      </c>
      <c r="O31" s="6">
        <f t="shared" si="1"/>
        <v>-0.24574209245742096</v>
      </c>
      <c r="P31" s="5">
        <f>SUMIFS('2'!F:F,'2'!$A:$A,基础表!$E31,'2'!$B:$B,基础表!$F31)</f>
        <v>1.512</v>
      </c>
      <c r="Q31" s="6">
        <f>SUMIFS('2'!G:G,'2'!$A:$A,基础表!$E31,'2'!$B:$B,基础表!$F31)</f>
        <v>1.02513227513228</v>
      </c>
      <c r="R31" s="6">
        <f t="shared" si="2"/>
        <v>0.14838709677419354</v>
      </c>
      <c r="S31" s="6">
        <f t="shared" si="3"/>
        <v>0.15161290322580645</v>
      </c>
      <c r="T31" s="6">
        <f t="shared" si="4"/>
        <v>0.15161290322580645</v>
      </c>
      <c r="U31" s="6">
        <f t="shared" si="5"/>
        <v>0.14516129032258066</v>
      </c>
      <c r="V31" s="6">
        <f t="shared" si="6"/>
        <v>0.13548387096774192</v>
      </c>
      <c r="W31" s="6">
        <f t="shared" si="7"/>
        <v>0.13548387096774192</v>
      </c>
      <c r="X31" s="6">
        <f t="shared" si="8"/>
        <v>0.13225806451612901</v>
      </c>
      <c r="Y31" s="6">
        <f t="shared" si="9"/>
        <v>0</v>
      </c>
      <c r="Z31" s="5">
        <f>SUMIFS('4'!C:C,'4'!$A:$A,基础表!$E31,'4'!$B:$B,基础表!$F31)</f>
        <v>0.23</v>
      </c>
      <c r="AA31" s="5">
        <f>SUMIFS('4'!D:D,'4'!$A:$A,基础表!$E31,'4'!$B:$B,基础表!$F31)</f>
        <v>0.23499999999999999</v>
      </c>
      <c r="AB31" s="5">
        <f>SUMIFS('4'!E:E,'4'!$A:$A,基础表!$E31,'4'!$B:$B,基础表!$F31)</f>
        <v>0.23499999999999999</v>
      </c>
      <c r="AC31" s="5">
        <f>SUMIFS('4'!F:F,'4'!$A:$A,基础表!$E31,'4'!$B:$B,基础表!$F31)</f>
        <v>0.22500000000000001</v>
      </c>
      <c r="AD31" s="5">
        <f>SUMIFS('4'!G:G,'4'!$A:$A,基础表!$E31,'4'!$B:$B,基础表!$F31)</f>
        <v>0.21</v>
      </c>
      <c r="AE31" s="5">
        <f>SUMIFS('4'!H:H,'4'!$A:$A,基础表!$E31,'4'!$B:$B,基础表!$F31)</f>
        <v>0.21</v>
      </c>
      <c r="AF31" s="5">
        <f>SUMIFS('4'!I:I,'4'!$A:$A,基础表!$E31,'4'!$B:$B,基础表!$F31)</f>
        <v>0.20499999999999999</v>
      </c>
      <c r="AG31" s="5">
        <f>SUMIFS('4'!J:J,'4'!$A:$A,基础表!$E31,'4'!$B:$B,基础表!$F31)</f>
        <v>0</v>
      </c>
      <c r="AH31" s="143">
        <v>1.677</v>
      </c>
      <c r="AI31" s="143">
        <v>1.6479999999999999</v>
      </c>
      <c r="AJ31" s="143">
        <f t="shared" si="12"/>
        <v>-2.9000000000000137E-2</v>
      </c>
      <c r="AK31" s="6">
        <f>SUMIFS('3'!C:C,'3'!$A:$A,基础表!$E31,'3'!$B:$B,基础表!$F31)</f>
        <v>0.62296353762606704</v>
      </c>
      <c r="AL31" s="6">
        <f>SUMIFS('3'!D:D,'3'!$A:$A,基础表!$E31,'3'!$B:$B,基础表!$F31)</f>
        <v>0.95994993742177703</v>
      </c>
      <c r="AM31" s="6">
        <f>SUMIFS('3'!E:E,'3'!$A:$A,基础表!$E31,'3'!$B:$B,基础表!$F31)</f>
        <v>0.64786585365853699</v>
      </c>
      <c r="AN31" s="6">
        <f>SUMIFS('3'!F:F,'3'!$A:$A,基础表!$E31,'3'!$B:$B,基础表!$F31)</f>
        <v>0.80519480519480491</v>
      </c>
      <c r="AO31" s="6">
        <f>SUMIFS('3'!G:G,'3'!$A:$A,基础表!$E31,'3'!$B:$B,基础表!$F31)</f>
        <v>0.65321955003878995</v>
      </c>
      <c r="AP31" s="6">
        <f>SUMIFS('3'!H:H,'3'!$A:$A,基础表!$E31,'3'!$B:$B,基础表!$F31)</f>
        <v>0.81168831168831201</v>
      </c>
      <c r="AQ31" s="6">
        <f>SUMIFS('3'!I:I,'3'!$A:$A,基础表!$E31,'3'!$B:$B,基础表!$F31)</f>
        <v>0.77693089430894302</v>
      </c>
      <c r="AR31" s="6">
        <f>SUMIFS('3'!M:M,'3'!$K:$K,基础表!$E31,'3'!$L:$L,基础表!$F31)</f>
        <v>0.93023255813953498</v>
      </c>
      <c r="AS31" s="6">
        <f>SUMIFS('3'!N:N,'3'!$K:$K,基础表!$E31,'3'!$L:$L,基础表!$F31)</f>
        <v>1</v>
      </c>
    </row>
    <row r="32" spans="1:45" x14ac:dyDescent="0.2">
      <c r="C32" s="78">
        <f>RANK(D32,$D$5:$D$34)+COUNTIF($D$5:D32,D32)-1</f>
        <v>15</v>
      </c>
      <c r="D32" s="6">
        <f t="shared" si="16"/>
        <v>0.71613832853025894</v>
      </c>
      <c r="E32" s="8" t="s">
        <v>28</v>
      </c>
      <c r="F32" s="8" t="s">
        <v>33</v>
      </c>
      <c r="G32" s="5">
        <v>1.2110000000000001</v>
      </c>
      <c r="H32" s="5">
        <v>2.6840000000000002</v>
      </c>
      <c r="I32" s="5">
        <v>1.7030000000000001</v>
      </c>
      <c r="J32" s="6">
        <v>-0.24501246882793015</v>
      </c>
      <c r="K32" s="6">
        <v>-0.11652402896642522</v>
      </c>
      <c r="L32" s="6">
        <v>-0.12756147540983598</v>
      </c>
      <c r="M32" s="5">
        <f>SUMIFS('2'!C:C,'2'!$A:$A,基础表!$E32,'2'!$B:$B,基础表!$F32)</f>
        <v>1.4910000000000001</v>
      </c>
      <c r="N32" s="5">
        <f>SUMIFS('2'!D:D,'2'!$A:$A,基础表!$E32,'2'!$B:$B,基础表!$F32)</f>
        <v>2.0819999999999999</v>
      </c>
      <c r="O32" s="6">
        <f t="shared" si="1"/>
        <v>-0.28386167146974051</v>
      </c>
      <c r="P32" s="5">
        <f>SUMIFS('2'!F:F,'2'!$A:$A,基础表!$E32,'2'!$B:$B,基础表!$F32)</f>
        <v>2.0819999999999999</v>
      </c>
      <c r="Q32" s="6">
        <f>SUMIFS('2'!G:G,'2'!$A:$A,基础表!$E32,'2'!$B:$B,基础表!$F32)</f>
        <v>0.71613832853025894</v>
      </c>
      <c r="R32" s="6">
        <f t="shared" si="2"/>
        <v>0.13816230717639166</v>
      </c>
      <c r="S32" s="6">
        <f t="shared" si="3"/>
        <v>0.14419852448021461</v>
      </c>
      <c r="T32" s="6">
        <f t="shared" si="4"/>
        <v>0.19450033534540573</v>
      </c>
      <c r="U32" s="6">
        <f t="shared" si="5"/>
        <v>0.15425888665325285</v>
      </c>
      <c r="V32" s="6">
        <f t="shared" si="6"/>
        <v>0.14419852448021461</v>
      </c>
      <c r="W32" s="6">
        <f t="shared" si="7"/>
        <v>0.11401743796109994</v>
      </c>
      <c r="X32" s="6">
        <f t="shared" si="8"/>
        <v>0.11066398390342053</v>
      </c>
      <c r="Y32" s="6">
        <f t="shared" si="9"/>
        <v>0</v>
      </c>
      <c r="Z32" s="5">
        <f>SUMIFS('4'!C:C,'4'!$A:$A,基础表!$E32,'4'!$B:$B,基础表!$F32)</f>
        <v>0.20599999999999999</v>
      </c>
      <c r="AA32" s="5">
        <f>SUMIFS('4'!D:D,'4'!$A:$A,基础表!$E32,'4'!$B:$B,基础表!$F32)</f>
        <v>0.215</v>
      </c>
      <c r="AB32" s="5">
        <f>SUMIFS('4'!E:E,'4'!$A:$A,基础表!$E32,'4'!$B:$B,基础表!$F32)</f>
        <v>0.28999999999999998</v>
      </c>
      <c r="AC32" s="5">
        <f>SUMIFS('4'!F:F,'4'!$A:$A,基础表!$E32,'4'!$B:$B,基础表!$F32)</f>
        <v>0.23</v>
      </c>
      <c r="AD32" s="5">
        <f>SUMIFS('4'!G:G,'4'!$A:$A,基础表!$E32,'4'!$B:$B,基础表!$F32)</f>
        <v>0.215</v>
      </c>
      <c r="AE32" s="5">
        <f>SUMIFS('4'!H:H,'4'!$A:$A,基础表!$E32,'4'!$B:$B,基础表!$F32)</f>
        <v>0.17</v>
      </c>
      <c r="AF32" s="5">
        <f>SUMIFS('4'!I:I,'4'!$A:$A,基础表!$E32,'4'!$B:$B,基础表!$F32)</f>
        <v>0.16500000000000001</v>
      </c>
      <c r="AG32" s="5">
        <f>SUMIFS('4'!J:J,'4'!$A:$A,基础表!$E32,'4'!$B:$B,基础表!$F32)</f>
        <v>0</v>
      </c>
      <c r="AH32" s="143">
        <v>2.4390000000000001</v>
      </c>
      <c r="AI32" s="143">
        <v>2.371</v>
      </c>
      <c r="AJ32" s="143">
        <f t="shared" si="12"/>
        <v>-6.800000000000006E-2</v>
      </c>
      <c r="AK32" s="6">
        <f>SUMIFS('3'!C:C,'3'!$A:$A,基础表!$E32,'3'!$B:$B,基础表!$F32)</f>
        <v>0.828332170272156</v>
      </c>
      <c r="AL32" s="6">
        <f>SUMIFS('3'!D:D,'3'!$A:$A,基础表!$E32,'3'!$B:$B,基础表!$F32)</f>
        <v>0.91803278688524603</v>
      </c>
      <c r="AM32" s="6">
        <f>SUMIFS('3'!E:E,'3'!$A:$A,基础表!$E32,'3'!$B:$B,基础表!$F32)</f>
        <v>0.80048409405255894</v>
      </c>
      <c r="AN32" s="6">
        <f>SUMIFS('3'!F:F,'3'!$A:$A,基础表!$E32,'3'!$B:$B,基础表!$F32)</f>
        <v>0.84482758620689691</v>
      </c>
      <c r="AO32" s="6">
        <f>SUMIFS('3'!G:G,'3'!$A:$A,基础表!$E32,'3'!$B:$B,基础表!$F32)</f>
        <v>0.84480337078651702</v>
      </c>
      <c r="AP32" s="6">
        <f>SUMIFS('3'!H:H,'3'!$A:$A,基础表!$E32,'3'!$B:$B,基础表!$F32)</f>
        <v>0.86127167630057799</v>
      </c>
      <c r="AQ32" s="6">
        <f>SUMIFS('3'!I:I,'3'!$A:$A,基础表!$E32,'3'!$B:$B,基础表!$F32)</f>
        <v>0.866528354080221</v>
      </c>
      <c r="AR32" s="6">
        <f>SUMIFS('3'!M:M,'3'!$K:$K,基础表!$E32,'3'!$L:$L,基础表!$F32)</f>
        <v>0.96062992125984292</v>
      </c>
      <c r="AS32" s="6">
        <f>SUMIFS('3'!N:N,'3'!$K:$K,基础表!$E32,'3'!$L:$L,基础表!$F32)</f>
        <v>0.98425196850393704</v>
      </c>
    </row>
    <row r="33" spans="1:45" s="83" customFormat="1" x14ac:dyDescent="0.2">
      <c r="A33" s="83">
        <f>RANK(B33,$B$12:$B$34)</f>
        <v>2</v>
      </c>
      <c r="B33" s="84">
        <f>Q33</f>
        <v>0.76193877551020406</v>
      </c>
      <c r="C33" s="85"/>
      <c r="E33" s="86" t="s">
        <v>28</v>
      </c>
      <c r="F33" s="86" t="s">
        <v>4</v>
      </c>
      <c r="G33" s="87">
        <v>5.1020000000000003</v>
      </c>
      <c r="H33" s="87">
        <v>11.263</v>
      </c>
      <c r="I33" s="87">
        <v>8.2739999999999991</v>
      </c>
      <c r="J33" s="88">
        <v>-0.1475355054302423</v>
      </c>
      <c r="K33" s="88">
        <v>-2.0353135600591488E-2</v>
      </c>
      <c r="L33" s="88">
        <v>-6.5823642316811593E-2</v>
      </c>
      <c r="M33" s="87">
        <f>SUMIFS('2'!C:C,'2'!$A:$A,基础表!$E33,'2'!$B:$B,基础表!$F33)</f>
        <v>7.4669999999999996</v>
      </c>
      <c r="N33" s="87">
        <f>SUMIFS('2'!D:D,'2'!$A:$A,基础表!$E33,'2'!$B:$B,基础表!$F33)</f>
        <v>10.516999999999999</v>
      </c>
      <c r="O33" s="88">
        <f t="shared" si="1"/>
        <v>-0.29000665589046304</v>
      </c>
      <c r="P33" s="87">
        <f>SUMIFS('2'!F:F,'2'!$A:$A,基础表!$E33,'2'!$B:$B,基础表!$F33)</f>
        <v>9.8000000000000007</v>
      </c>
      <c r="Q33" s="88">
        <f>SUMIFS('2'!G:G,'2'!$A:$A,基础表!$E33,'2'!$B:$B,基础表!$F33)</f>
        <v>0.76193877551020406</v>
      </c>
      <c r="R33" s="88">
        <f t="shared" si="2"/>
        <v>0.15575197535824295</v>
      </c>
      <c r="S33" s="88">
        <f t="shared" si="3"/>
        <v>0.13459220570510244</v>
      </c>
      <c r="T33" s="88">
        <f t="shared" si="4"/>
        <v>0.17061738315253785</v>
      </c>
      <c r="U33" s="88">
        <f t="shared" si="5"/>
        <v>0.13619927681799918</v>
      </c>
      <c r="V33" s="88">
        <f t="shared" si="6"/>
        <v>0.13847596089460293</v>
      </c>
      <c r="W33" s="88">
        <f t="shared" si="7"/>
        <v>0.13472612829784386</v>
      </c>
      <c r="X33" s="88">
        <f t="shared" si="8"/>
        <v>0.12963706977367082</v>
      </c>
      <c r="Y33" s="88">
        <f t="shared" si="9"/>
        <v>0</v>
      </c>
      <c r="Z33" s="87">
        <f>SUMIFS('4'!C:C,'4'!$A:$A,基础表!$E33,'4'!$B:$B,基础表!$F33)</f>
        <v>1.163</v>
      </c>
      <c r="AA33" s="87">
        <f>SUMIFS('4'!D:D,'4'!$A:$A,基础表!$E33,'4'!$B:$B,基础表!$F33)</f>
        <v>1.0049999999999999</v>
      </c>
      <c r="AB33" s="87">
        <f>SUMIFS('4'!E:E,'4'!$A:$A,基础表!$E33,'4'!$B:$B,基础表!$F33)</f>
        <v>1.274</v>
      </c>
      <c r="AC33" s="87">
        <f>SUMIFS('4'!F:F,'4'!$A:$A,基础表!$E33,'4'!$B:$B,基础表!$F33)</f>
        <v>1.0169999999999999</v>
      </c>
      <c r="AD33" s="87">
        <f>SUMIFS('4'!G:G,'4'!$A:$A,基础表!$E33,'4'!$B:$B,基础表!$F33)</f>
        <v>1.034</v>
      </c>
      <c r="AE33" s="87">
        <f>SUMIFS('4'!H:H,'4'!$A:$A,基础表!$E33,'4'!$B:$B,基础表!$F33)</f>
        <v>1.006</v>
      </c>
      <c r="AF33" s="87">
        <f>SUMIFS('4'!I:I,'4'!$A:$A,基础表!$E33,'4'!$B:$B,基础表!$F33)</f>
        <v>0.96799999999999997</v>
      </c>
      <c r="AG33" s="87">
        <f>SUMIFS('4'!J:J,'4'!$A:$A,基础表!$E33,'4'!$B:$B,基础表!$F33)</f>
        <v>0</v>
      </c>
      <c r="AH33" s="144">
        <v>9.1720000000000006</v>
      </c>
      <c r="AI33" s="144">
        <f>SUM(AI27:AI32)</f>
        <v>8.9049999999999994</v>
      </c>
      <c r="AJ33" s="144">
        <f t="shared" si="12"/>
        <v>-0.26700000000000124</v>
      </c>
      <c r="AK33" s="88">
        <f>SUMIFS('3'!C:C,'3'!$A:$A,基础表!$E33,'3'!$B:$B,基础表!$F33)</f>
        <v>0.66065093320993395</v>
      </c>
      <c r="AL33" s="88">
        <f>SUMIFS('3'!D:D,'3'!$A:$A,基础表!$E33,'3'!$B:$B,基础表!$F33)</f>
        <v>0.91387446908919301</v>
      </c>
      <c r="AM33" s="88">
        <f>SUMIFS('3'!E:E,'3'!$A:$A,基础表!$E33,'3'!$B:$B,基础表!$F33)</f>
        <v>0.71443241224794607</v>
      </c>
      <c r="AN33" s="88">
        <f>SUMIFS('3'!F:F,'3'!$A:$A,基础表!$E33,'3'!$B:$B,基础表!$F33)</f>
        <v>0.71887966804979297</v>
      </c>
      <c r="AO33" s="88">
        <f>SUMIFS('3'!G:G,'3'!$A:$A,基础表!$E33,'3'!$B:$B,基础表!$F33)</f>
        <v>0.71588089330024796</v>
      </c>
      <c r="AP33" s="88">
        <f>SUMIFS('3'!H:H,'3'!$A:$A,基础表!$E33,'3'!$B:$B,基础表!$F33)</f>
        <v>0.66353187042842199</v>
      </c>
      <c r="AQ33" s="88">
        <f>SUMIFS('3'!I:I,'3'!$A:$A,基础表!$E33,'3'!$B:$B,基础表!$F33)</f>
        <v>0.828043315907394</v>
      </c>
      <c r="AR33" s="88">
        <f>SUMIFS('3'!M:M,'3'!$K:$K,基础表!$E33,'3'!$L:$L,基础表!$F33)</f>
        <v>0.94315789473684208</v>
      </c>
      <c r="AS33" s="88">
        <f>SUMIFS('3'!N:N,'3'!$K:$K,基础表!$E33,'3'!$L:$L,基础表!$F33)</f>
        <v>0.995789473684211</v>
      </c>
    </row>
    <row r="34" spans="1:45" x14ac:dyDescent="0.2">
      <c r="B34" s="6"/>
      <c r="C34" s="78">
        <f>RANK(D34,$D$5:$D$34)+COUNTIF($D$5:D34,D34)-1</f>
        <v>4</v>
      </c>
      <c r="D34" s="3">
        <f t="shared" si="16"/>
        <v>1</v>
      </c>
      <c r="E34" s="8" t="s">
        <v>34</v>
      </c>
      <c r="F34" s="8" t="s">
        <v>35</v>
      </c>
      <c r="G34" s="5">
        <v>0.10299999999999999</v>
      </c>
      <c r="H34" s="5">
        <v>0.11</v>
      </c>
      <c r="I34" s="5">
        <v>0.15</v>
      </c>
      <c r="J34" s="6">
        <v>2.9999999999999805E-2</v>
      </c>
      <c r="K34" s="6">
        <v>9.9999999999999867E-2</v>
      </c>
      <c r="L34" s="6">
        <v>0.49999999999999978</v>
      </c>
      <c r="M34" s="5">
        <f>SUMIFS('2'!C:C,'2'!$A:$A,基础表!$E34,'2'!$B:$B,基础表!$F34)</f>
        <v>0.1</v>
      </c>
      <c r="N34" s="5">
        <f>SUMIFS('2'!D:D,'2'!$A:$A,基础表!$E34,'2'!$B:$B,基础表!$F34)</f>
        <v>0.17</v>
      </c>
      <c r="O34" s="6">
        <f t="shared" si="1"/>
        <v>-0.41176470588235292</v>
      </c>
      <c r="P34" s="5">
        <f>SUMIFS('2'!F:F,'2'!$A:$A,基础表!$E34,'2'!$B:$B,基础表!$F34)</f>
        <v>0.1</v>
      </c>
      <c r="Q34" s="6">
        <f>SUMIFS('2'!G:G,'2'!$A:$A,基础表!$E34,'2'!$B:$B,基础表!$F34)</f>
        <v>1</v>
      </c>
      <c r="R34" s="6">
        <f t="shared" si="2"/>
        <v>0</v>
      </c>
      <c r="S34" s="6">
        <f t="shared" si="3"/>
        <v>0</v>
      </c>
      <c r="T34" s="6">
        <f t="shared" si="4"/>
        <v>1</v>
      </c>
      <c r="U34" s="6">
        <f t="shared" si="5"/>
        <v>0</v>
      </c>
      <c r="V34" s="6">
        <f t="shared" si="6"/>
        <v>0</v>
      </c>
      <c r="W34" s="6">
        <f t="shared" si="7"/>
        <v>0</v>
      </c>
      <c r="X34" s="6">
        <f t="shared" si="8"/>
        <v>0</v>
      </c>
      <c r="Y34" s="6">
        <f t="shared" si="9"/>
        <v>0</v>
      </c>
      <c r="Z34" s="5">
        <f>SUMIFS('4'!C:C,'4'!$A:$A,基础表!$E34,'4'!$B:$B,基础表!$F34)</f>
        <v>0</v>
      </c>
      <c r="AA34" s="5">
        <f>SUMIFS('4'!D:D,'4'!$A:$A,基础表!$E34,'4'!$B:$B,基础表!$F34)</f>
        <v>0</v>
      </c>
      <c r="AB34" s="5">
        <f>SUMIFS('4'!E:E,'4'!$A:$A,基础表!$E34,'4'!$B:$B,基础表!$F34)</f>
        <v>0.1</v>
      </c>
      <c r="AC34" s="5">
        <f>SUMIFS('4'!F:F,'4'!$A:$A,基础表!$E34,'4'!$B:$B,基础表!$F34)</f>
        <v>0</v>
      </c>
      <c r="AD34" s="5">
        <f>SUMIFS('4'!G:G,'4'!$A:$A,基础表!$E34,'4'!$B:$B,基础表!$F34)</f>
        <v>0</v>
      </c>
      <c r="AE34" s="5">
        <f>SUMIFS('4'!H:H,'4'!$A:$A,基础表!$E34,'4'!$B:$B,基础表!$F34)</f>
        <v>0</v>
      </c>
      <c r="AF34" s="5">
        <f>SUMIFS('4'!I:I,'4'!$A:$A,基础表!$E34,'4'!$B:$B,基础表!$F34)</f>
        <v>0</v>
      </c>
      <c r="AG34" s="5">
        <f>SUMIFS('4'!J:J,'4'!$A:$A,基础表!$E34,'4'!$B:$B,基础表!$F34)</f>
        <v>0</v>
      </c>
      <c r="AH34" s="74"/>
      <c r="AI34" s="74"/>
      <c r="AJ34" s="74"/>
      <c r="AK34" s="6"/>
      <c r="AL34" s="6"/>
      <c r="AM34" s="6"/>
      <c r="AN34" s="6"/>
      <c r="AO34" s="6"/>
      <c r="AP34" s="6"/>
    </row>
    <row r="35" spans="1:45" s="83" customFormat="1" x14ac:dyDescent="0.2">
      <c r="C35" s="85"/>
      <c r="E35" s="86" t="s">
        <v>34</v>
      </c>
      <c r="F35" s="86" t="s">
        <v>4</v>
      </c>
      <c r="G35" s="87">
        <v>0.10299999999999999</v>
      </c>
      <c r="H35" s="87">
        <v>0.11</v>
      </c>
      <c r="I35" s="87">
        <v>0.15</v>
      </c>
      <c r="J35" s="88">
        <v>2.9999999999999805E-2</v>
      </c>
      <c r="K35" s="88">
        <v>9.9999999999999867E-2</v>
      </c>
      <c r="L35" s="88">
        <v>0.49999999999999978</v>
      </c>
      <c r="M35" s="87">
        <f>SUMIFS('2'!C:C,'2'!$A:$A,基础表!$E35,'2'!$B:$B,基础表!$F35)</f>
        <v>0.1</v>
      </c>
      <c r="N35" s="87">
        <f>SUMIFS('2'!D:D,'2'!$A:$A,基础表!$E35,'2'!$B:$B,基础表!$F35)</f>
        <v>0.17</v>
      </c>
      <c r="O35" s="88">
        <f t="shared" si="1"/>
        <v>-0.41176470588235292</v>
      </c>
      <c r="P35" s="87">
        <f>SUMIFS('2'!F:F,'2'!$A:$A,基础表!$E35,'2'!$B:$B,基础表!$F35)</f>
        <v>0.1</v>
      </c>
      <c r="Q35" s="88">
        <f>SUMIFS('2'!G:G,'2'!$A:$A,基础表!$E35,'2'!$B:$B,基础表!$F35)</f>
        <v>1</v>
      </c>
      <c r="R35" s="88">
        <f t="shared" si="2"/>
        <v>0</v>
      </c>
      <c r="S35" s="88">
        <f t="shared" si="3"/>
        <v>0</v>
      </c>
      <c r="T35" s="88">
        <f t="shared" si="4"/>
        <v>1</v>
      </c>
      <c r="U35" s="88">
        <f t="shared" si="5"/>
        <v>0</v>
      </c>
      <c r="V35" s="88">
        <f t="shared" si="6"/>
        <v>0</v>
      </c>
      <c r="W35" s="88">
        <f t="shared" si="7"/>
        <v>0</v>
      </c>
      <c r="X35" s="88">
        <f t="shared" si="8"/>
        <v>0</v>
      </c>
      <c r="Y35" s="88">
        <f t="shared" si="9"/>
        <v>0</v>
      </c>
      <c r="Z35" s="87">
        <f>SUMIFS('4'!C:C,'4'!$A:$A,基础表!$E35,'4'!$B:$B,基础表!$F35)</f>
        <v>0</v>
      </c>
      <c r="AA35" s="87">
        <f>SUMIFS('4'!D:D,'4'!$A:$A,基础表!$E35,'4'!$B:$B,基础表!$F35)</f>
        <v>0</v>
      </c>
      <c r="AB35" s="87">
        <f>SUMIFS('4'!E:E,'4'!$A:$A,基础表!$E35,'4'!$B:$B,基础表!$F35)</f>
        <v>0.1</v>
      </c>
      <c r="AC35" s="87">
        <f>SUMIFS('4'!F:F,'4'!$A:$A,基础表!$E35,'4'!$B:$B,基础表!$F35)</f>
        <v>0</v>
      </c>
      <c r="AD35" s="87">
        <f>SUMIFS('4'!G:G,'4'!$A:$A,基础表!$E35,'4'!$B:$B,基础表!$F35)</f>
        <v>0</v>
      </c>
      <c r="AE35" s="87">
        <f>SUMIFS('4'!H:H,'4'!$A:$A,基础表!$E35,'4'!$B:$B,基础表!$F35)</f>
        <v>0</v>
      </c>
      <c r="AF35" s="87">
        <f>SUMIFS('4'!I:I,'4'!$A:$A,基础表!$E35,'4'!$B:$B,基础表!$F35)</f>
        <v>0</v>
      </c>
      <c r="AG35" s="87">
        <f>SUMIFS('4'!J:J,'4'!$A:$A,基础表!$E35,'4'!$B:$B,基础表!$F35)</f>
        <v>0</v>
      </c>
      <c r="AH35" s="89"/>
      <c r="AI35" s="89"/>
      <c r="AJ35" s="89"/>
      <c r="AK35" s="88"/>
      <c r="AL35" s="88"/>
      <c r="AM35" s="88"/>
      <c r="AN35" s="88"/>
      <c r="AO35" s="88"/>
      <c r="AP35" s="88"/>
    </row>
  </sheetData>
  <mergeCells count="11">
    <mergeCell ref="AR2:AS2"/>
    <mergeCell ref="AK2:AP2"/>
    <mergeCell ref="E4:F4"/>
    <mergeCell ref="A3:B3"/>
    <mergeCell ref="C3:D3"/>
    <mergeCell ref="G2:I2"/>
    <mergeCell ref="J2:L2"/>
    <mergeCell ref="M2:Q2"/>
    <mergeCell ref="Z2:AG2"/>
    <mergeCell ref="R2:Y2"/>
    <mergeCell ref="AH2:AJ2"/>
  </mergeCells>
  <phoneticPr fontId="19" type="noConversion"/>
  <conditionalFormatting sqref="C1:C1048576">
    <cfRule type="duplicateValues" dxfId="0" priority="1"/>
  </conditionalFormatting>
  <pageMargins left="0.7" right="0.7" top="0.75" bottom="0.75" header="0.3" footer="0.3"/>
  <pageSetup paperSize="9" orientation="portrait" verticalDpi="0" r:id="rId1"/>
  <customProperties>
    <customPr name="_pios_id" r:id="rId2"/>
    <customPr name="EpmWorksheetKeyString_GUID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selection activeCell="A12" sqref="A12"/>
    </sheetView>
  </sheetViews>
  <sheetFormatPr defaultRowHeight="14.25" x14ac:dyDescent="0.2"/>
  <cols>
    <col min="1" max="2" width="15.5" customWidth="1"/>
    <col min="3" max="3" width="28.375" customWidth="1"/>
    <col min="4" max="4" width="31.75" customWidth="1"/>
    <col min="5" max="5" width="31.5" customWidth="1"/>
    <col min="6" max="6" width="25" customWidth="1"/>
    <col min="7" max="7" width="34.875" customWidth="1"/>
  </cols>
  <sheetData>
    <row r="1" spans="1:7" x14ac:dyDescent="0.2">
      <c r="A1" s="1" t="s">
        <v>0</v>
      </c>
    </row>
    <row r="2" spans="1:7" x14ac:dyDescent="0.2">
      <c r="A2" s="2"/>
    </row>
    <row r="3" spans="1:7" x14ac:dyDescent="0.2">
      <c r="A3" s="110" t="s">
        <v>85</v>
      </c>
      <c r="B3" s="110" t="s">
        <v>37</v>
      </c>
      <c r="C3" s="111" t="s">
        <v>89</v>
      </c>
      <c r="D3" s="111" t="s">
        <v>89</v>
      </c>
      <c r="E3" s="111" t="s">
        <v>89</v>
      </c>
      <c r="F3" s="111" t="s">
        <v>89</v>
      </c>
      <c r="G3" s="111" t="s">
        <v>89</v>
      </c>
    </row>
    <row r="4" spans="1:7" x14ac:dyDescent="0.2">
      <c r="A4" s="110" t="s">
        <v>85</v>
      </c>
      <c r="B4" s="110" t="s">
        <v>1</v>
      </c>
      <c r="C4" s="113" t="s">
        <v>2</v>
      </c>
      <c r="D4" s="113" t="s">
        <v>2</v>
      </c>
      <c r="E4" s="113" t="s">
        <v>2</v>
      </c>
      <c r="F4" s="113" t="s">
        <v>2</v>
      </c>
      <c r="G4" s="111" t="s">
        <v>2</v>
      </c>
    </row>
    <row r="5" spans="1:7" x14ac:dyDescent="0.2">
      <c r="A5" s="110" t="s">
        <v>3</v>
      </c>
      <c r="B5" s="110" t="s">
        <v>38</v>
      </c>
      <c r="C5" s="111" t="s">
        <v>61</v>
      </c>
      <c r="D5" s="111" t="s">
        <v>62</v>
      </c>
      <c r="E5" s="111" t="s">
        <v>63</v>
      </c>
      <c r="F5" s="111" t="s">
        <v>64</v>
      </c>
      <c r="G5" s="111" t="s">
        <v>65</v>
      </c>
    </row>
    <row r="6" spans="1:7" x14ac:dyDescent="0.2">
      <c r="A6" s="111" t="s">
        <v>5</v>
      </c>
      <c r="B6" s="111" t="s">
        <v>6</v>
      </c>
      <c r="C6" s="104">
        <v>1.3320000000000001</v>
      </c>
      <c r="D6" s="103">
        <v>2.9169999999999998</v>
      </c>
      <c r="E6" s="116">
        <v>-0.54336647240315405</v>
      </c>
      <c r="F6" s="104">
        <v>3.2709999999999999</v>
      </c>
      <c r="G6" s="119">
        <v>0.40721491898502005</v>
      </c>
    </row>
    <row r="7" spans="1:7" x14ac:dyDescent="0.2">
      <c r="A7" s="111" t="s">
        <v>5</v>
      </c>
      <c r="B7" s="111" t="s">
        <v>7</v>
      </c>
      <c r="C7" s="104">
        <v>4.149</v>
      </c>
      <c r="D7" s="103">
        <v>1.208</v>
      </c>
      <c r="E7" s="116">
        <v>2.4346026490066199</v>
      </c>
      <c r="F7" s="104">
        <v>1.573</v>
      </c>
      <c r="G7" s="119">
        <v>2.6376350921805498</v>
      </c>
    </row>
    <row r="8" spans="1:7" x14ac:dyDescent="0.2">
      <c r="A8" s="111" t="s">
        <v>5</v>
      </c>
      <c r="B8" s="111" t="s">
        <v>8</v>
      </c>
      <c r="C8" s="104">
        <v>1.5369999999999999</v>
      </c>
      <c r="D8" s="103">
        <v>1.597</v>
      </c>
      <c r="E8" s="116">
        <v>-3.7570444583594195E-2</v>
      </c>
      <c r="F8" s="104">
        <v>1.8879999999999999</v>
      </c>
      <c r="G8" s="119">
        <v>0.81408898305084709</v>
      </c>
    </row>
    <row r="9" spans="1:7" x14ac:dyDescent="0.2">
      <c r="A9" s="111" t="s">
        <v>5</v>
      </c>
      <c r="B9" s="111" t="s">
        <v>9</v>
      </c>
      <c r="C9" s="104">
        <v>0.88500000000000001</v>
      </c>
      <c r="D9" s="103">
        <v>1.569</v>
      </c>
      <c r="E9" s="116">
        <v>-0.43594646271510501</v>
      </c>
      <c r="F9" s="104">
        <v>1.405</v>
      </c>
      <c r="G9" s="119">
        <v>0.629893238434164</v>
      </c>
    </row>
    <row r="10" spans="1:7" x14ac:dyDescent="0.2">
      <c r="A10" s="111" t="s">
        <v>5</v>
      </c>
      <c r="B10" s="111" t="s">
        <v>10</v>
      </c>
      <c r="C10" s="104">
        <v>0.79</v>
      </c>
      <c r="D10" s="103">
        <v>1.478</v>
      </c>
      <c r="E10" s="116">
        <v>-0.46549391069012203</v>
      </c>
      <c r="F10" s="104">
        <v>1.3240000000000001</v>
      </c>
      <c r="G10" s="119">
        <v>0.59667673716012093</v>
      </c>
    </row>
    <row r="11" spans="1:7" x14ac:dyDescent="0.2">
      <c r="A11" s="111" t="s">
        <v>5</v>
      </c>
      <c r="B11" s="111" t="s">
        <v>11</v>
      </c>
      <c r="C11" s="104">
        <v>1.7210000000000001</v>
      </c>
      <c r="D11" s="103">
        <v>1.5640000000000001</v>
      </c>
      <c r="E11" s="116">
        <v>0.10038363171355501</v>
      </c>
      <c r="F11" s="104">
        <v>2.2919999999999998</v>
      </c>
      <c r="G11" s="119">
        <v>0.75087260034904002</v>
      </c>
    </row>
    <row r="12" spans="1:7" x14ac:dyDescent="0.2">
      <c r="A12" s="111" t="s">
        <v>5</v>
      </c>
      <c r="B12" s="111" t="s">
        <v>12</v>
      </c>
      <c r="C12" s="104">
        <v>2.125</v>
      </c>
      <c r="D12" s="103">
        <v>3.3330000000000002</v>
      </c>
      <c r="E12" s="116">
        <v>-0.362436243624362</v>
      </c>
      <c r="F12" s="104">
        <v>3.847</v>
      </c>
      <c r="G12" s="119">
        <v>0.55237847673511797</v>
      </c>
    </row>
    <row r="13" spans="1:7" x14ac:dyDescent="0.2">
      <c r="A13" s="111" t="s">
        <v>5</v>
      </c>
      <c r="B13" s="111" t="s">
        <v>13</v>
      </c>
      <c r="C13" s="104">
        <v>1.4E-2</v>
      </c>
      <c r="D13" s="103">
        <v>2.9000000000000001E-2</v>
      </c>
      <c r="E13" s="116">
        <v>-0.51724137931034497</v>
      </c>
      <c r="F13" s="104"/>
      <c r="G13" s="109" t="s">
        <v>69</v>
      </c>
    </row>
    <row r="14" spans="1:7" x14ac:dyDescent="0.2">
      <c r="A14" s="111" t="s">
        <v>5</v>
      </c>
      <c r="B14" s="114" t="s">
        <v>4</v>
      </c>
      <c r="C14" s="106">
        <v>12.553000000000001</v>
      </c>
      <c r="D14" s="105">
        <v>13.695</v>
      </c>
      <c r="E14" s="117">
        <v>-8.3388097845929196E-2</v>
      </c>
      <c r="F14" s="106">
        <v>15.6</v>
      </c>
      <c r="G14" s="120">
        <v>0.80467948717948701</v>
      </c>
    </row>
    <row r="15" spans="1:7" x14ac:dyDescent="0.2">
      <c r="A15" s="111" t="s">
        <v>14</v>
      </c>
      <c r="B15" s="111" t="s">
        <v>15</v>
      </c>
      <c r="C15" s="104">
        <v>0.22700000000000001</v>
      </c>
      <c r="D15" s="103">
        <v>0.501</v>
      </c>
      <c r="E15" s="116">
        <v>-0.54690618762474996</v>
      </c>
      <c r="F15" s="104">
        <v>0.496</v>
      </c>
      <c r="G15" s="119">
        <v>0.45766129032258102</v>
      </c>
    </row>
    <row r="16" spans="1:7" x14ac:dyDescent="0.2">
      <c r="A16" s="111" t="s">
        <v>14</v>
      </c>
      <c r="B16" s="111" t="s">
        <v>16</v>
      </c>
      <c r="C16" s="104">
        <v>0.67700000000000005</v>
      </c>
      <c r="D16" s="103">
        <v>1.05</v>
      </c>
      <c r="E16" s="116">
        <v>-0.35523809523809496</v>
      </c>
      <c r="F16" s="104">
        <v>1.1359999999999999</v>
      </c>
      <c r="G16" s="119">
        <v>0.59595070422535201</v>
      </c>
    </row>
    <row r="17" spans="1:7" x14ac:dyDescent="0.2">
      <c r="A17" s="111" t="s">
        <v>14</v>
      </c>
      <c r="B17" s="111" t="s">
        <v>17</v>
      </c>
      <c r="C17" s="104">
        <v>0.39</v>
      </c>
      <c r="D17" s="103">
        <v>0.72799999999999998</v>
      </c>
      <c r="E17" s="116">
        <v>-0.46428571428571402</v>
      </c>
      <c r="F17" s="104">
        <v>0.68600000000000005</v>
      </c>
      <c r="G17" s="119">
        <v>0.56851311953352801</v>
      </c>
    </row>
    <row r="18" spans="1:7" x14ac:dyDescent="0.2">
      <c r="A18" s="111" t="s">
        <v>14</v>
      </c>
      <c r="B18" s="111" t="s">
        <v>18</v>
      </c>
      <c r="C18" s="104">
        <v>1.776</v>
      </c>
      <c r="D18" s="103">
        <v>2.2919999999999998</v>
      </c>
      <c r="E18" s="116">
        <v>-0.22513089005235598</v>
      </c>
      <c r="F18" s="104">
        <v>2.0659999999999998</v>
      </c>
      <c r="G18" s="119">
        <v>0.85963213939980609</v>
      </c>
    </row>
    <row r="19" spans="1:7" x14ac:dyDescent="0.2">
      <c r="A19" s="111" t="s">
        <v>14</v>
      </c>
      <c r="B19" s="111" t="s">
        <v>19</v>
      </c>
      <c r="C19" s="104">
        <v>2.226</v>
      </c>
      <c r="D19" s="103">
        <v>2.7389999999999999</v>
      </c>
      <c r="E19" s="116">
        <v>-0.187294633077766</v>
      </c>
      <c r="F19" s="104">
        <v>2.5880000000000001</v>
      </c>
      <c r="G19" s="119">
        <v>0.86012364760432802</v>
      </c>
    </row>
    <row r="20" spans="1:7" x14ac:dyDescent="0.2">
      <c r="A20" s="111" t="s">
        <v>14</v>
      </c>
      <c r="B20" s="111" t="s">
        <v>20</v>
      </c>
      <c r="C20" s="104">
        <v>0.44400000000000001</v>
      </c>
      <c r="D20" s="103">
        <v>0.51100000000000001</v>
      </c>
      <c r="E20" s="116">
        <v>-0.131115459882583</v>
      </c>
      <c r="F20" s="104">
        <v>0.51600000000000001</v>
      </c>
      <c r="G20" s="119">
        <v>0.86046511627906996</v>
      </c>
    </row>
    <row r="21" spans="1:7" x14ac:dyDescent="0.2">
      <c r="A21" s="111" t="s">
        <v>14</v>
      </c>
      <c r="B21" s="111" t="s">
        <v>21</v>
      </c>
      <c r="C21" s="104">
        <v>1.774</v>
      </c>
      <c r="D21" s="103">
        <v>2.1869999999999998</v>
      </c>
      <c r="E21" s="116">
        <v>-0.18884316415180599</v>
      </c>
      <c r="F21" s="104">
        <v>2.4119999999999999</v>
      </c>
      <c r="G21" s="119">
        <v>0.73548922056384702</v>
      </c>
    </row>
    <row r="22" spans="1:7" x14ac:dyDescent="0.2">
      <c r="A22" s="111" t="s">
        <v>14</v>
      </c>
      <c r="B22" s="111" t="s">
        <v>13</v>
      </c>
      <c r="C22" s="104"/>
      <c r="D22" s="103">
        <v>0.02</v>
      </c>
      <c r="E22" s="116">
        <v>-1</v>
      </c>
      <c r="F22" s="104"/>
      <c r="G22" s="109"/>
    </row>
    <row r="23" spans="1:7" x14ac:dyDescent="0.2">
      <c r="A23" s="111" t="s">
        <v>14</v>
      </c>
      <c r="B23" s="114" t="s">
        <v>4</v>
      </c>
      <c r="C23" s="106">
        <v>7.5140000000000002</v>
      </c>
      <c r="D23" s="105">
        <v>10.028</v>
      </c>
      <c r="E23" s="117">
        <v>-0.25069804547267699</v>
      </c>
      <c r="F23" s="106">
        <v>9.9</v>
      </c>
      <c r="G23" s="120">
        <v>0.75898989898989899</v>
      </c>
    </row>
    <row r="24" spans="1:7" x14ac:dyDescent="0.2">
      <c r="A24" s="111" t="s">
        <v>34</v>
      </c>
      <c r="B24" s="111" t="s">
        <v>35</v>
      </c>
      <c r="C24" s="104">
        <v>0.1</v>
      </c>
      <c r="D24" s="103">
        <v>0.17</v>
      </c>
      <c r="E24" s="116">
        <v>-0.41176470588235298</v>
      </c>
      <c r="F24" s="104">
        <v>0.1</v>
      </c>
      <c r="G24" s="119">
        <v>1</v>
      </c>
    </row>
    <row r="25" spans="1:7" x14ac:dyDescent="0.2">
      <c r="A25" s="111" t="s">
        <v>34</v>
      </c>
      <c r="B25" s="114" t="s">
        <v>4</v>
      </c>
      <c r="C25" s="106">
        <v>0.1</v>
      </c>
      <c r="D25" s="105">
        <v>0.17</v>
      </c>
      <c r="E25" s="117">
        <v>-0.41176470588235298</v>
      </c>
      <c r="F25" s="106">
        <v>0.1</v>
      </c>
      <c r="G25" s="120">
        <v>1</v>
      </c>
    </row>
    <row r="26" spans="1:7" x14ac:dyDescent="0.2">
      <c r="A26" s="111" t="s">
        <v>22</v>
      </c>
      <c r="B26" s="111" t="s">
        <v>23</v>
      </c>
      <c r="C26" s="104">
        <v>0.51800000000000002</v>
      </c>
      <c r="D26" s="103">
        <v>0.89900000000000002</v>
      </c>
      <c r="E26" s="116">
        <v>-0.42380422691879899</v>
      </c>
      <c r="F26" s="104">
        <v>0.69</v>
      </c>
      <c r="G26" s="119">
        <v>0.75072463768115894</v>
      </c>
    </row>
    <row r="27" spans="1:7" x14ac:dyDescent="0.2">
      <c r="A27" s="111" t="s">
        <v>22</v>
      </c>
      <c r="B27" s="111" t="s">
        <v>24</v>
      </c>
      <c r="C27" s="104">
        <v>2.2250000000000001</v>
      </c>
      <c r="D27" s="103">
        <v>2.9020000000000001</v>
      </c>
      <c r="E27" s="116">
        <v>-0.23328738800827001</v>
      </c>
      <c r="F27" s="104">
        <v>2.9239999999999999</v>
      </c>
      <c r="G27" s="119">
        <v>0.76094391244869997</v>
      </c>
    </row>
    <row r="28" spans="1:7" x14ac:dyDescent="0.2">
      <c r="A28" s="111" t="s">
        <v>22</v>
      </c>
      <c r="B28" s="111" t="s">
        <v>25</v>
      </c>
      <c r="C28" s="104">
        <v>2.0739999999999998</v>
      </c>
      <c r="D28" s="103">
        <v>2.7280000000000002</v>
      </c>
      <c r="E28" s="116">
        <v>-0.23973607038123199</v>
      </c>
      <c r="F28" s="104">
        <v>3.0739999999999998</v>
      </c>
      <c r="G28" s="119">
        <v>0.67469095640858801</v>
      </c>
    </row>
    <row r="29" spans="1:7" x14ac:dyDescent="0.2">
      <c r="A29" s="111" t="s">
        <v>22</v>
      </c>
      <c r="B29" s="111" t="s">
        <v>26</v>
      </c>
      <c r="C29" s="104">
        <v>0.89400000000000002</v>
      </c>
      <c r="D29" s="103">
        <v>1.391</v>
      </c>
      <c r="E29" s="116">
        <v>-0.357296908698778</v>
      </c>
      <c r="F29" s="104">
        <v>1.161</v>
      </c>
      <c r="G29" s="119">
        <v>0.77002583979328199</v>
      </c>
    </row>
    <row r="30" spans="1:7" x14ac:dyDescent="0.2">
      <c r="A30" s="111" t="s">
        <v>22</v>
      </c>
      <c r="B30" s="111" t="s">
        <v>27</v>
      </c>
      <c r="C30" s="104">
        <v>2.5390000000000001</v>
      </c>
      <c r="D30" s="103">
        <v>3.12</v>
      </c>
      <c r="E30" s="116">
        <v>-0.186217948717949</v>
      </c>
      <c r="F30" s="104">
        <v>3.1509999999999998</v>
      </c>
      <c r="G30" s="119">
        <v>0.80577594414471609</v>
      </c>
    </row>
    <row r="31" spans="1:7" x14ac:dyDescent="0.2">
      <c r="A31" s="111" t="s">
        <v>22</v>
      </c>
      <c r="B31" s="111" t="s">
        <v>13</v>
      </c>
      <c r="C31" s="104">
        <v>0.01</v>
      </c>
      <c r="D31" s="103"/>
      <c r="E31" s="103" t="s">
        <v>69</v>
      </c>
      <c r="F31" s="104"/>
      <c r="G31" s="109" t="s">
        <v>69</v>
      </c>
    </row>
    <row r="32" spans="1:7" x14ac:dyDescent="0.2">
      <c r="A32" s="111" t="s">
        <v>22</v>
      </c>
      <c r="B32" s="114" t="s">
        <v>4</v>
      </c>
      <c r="C32" s="106">
        <v>8.26</v>
      </c>
      <c r="D32" s="105">
        <v>11.04</v>
      </c>
      <c r="E32" s="117">
        <v>-0.251811594202899</v>
      </c>
      <c r="F32" s="106">
        <v>11</v>
      </c>
      <c r="G32" s="120">
        <v>0.75090909090909097</v>
      </c>
    </row>
    <row r="33" spans="1:7" x14ac:dyDescent="0.2">
      <c r="A33" s="111" t="s">
        <v>28</v>
      </c>
      <c r="B33" s="111" t="s">
        <v>29</v>
      </c>
      <c r="C33" s="104">
        <v>0.70699999999999996</v>
      </c>
      <c r="D33" s="103">
        <v>1.3260000000000001</v>
      </c>
      <c r="E33" s="116">
        <v>-0.466817496229261</v>
      </c>
      <c r="F33" s="104">
        <v>1.284</v>
      </c>
      <c r="G33" s="119">
        <v>0.55062305295950198</v>
      </c>
    </row>
    <row r="34" spans="1:7" x14ac:dyDescent="0.2">
      <c r="A34" s="111" t="s">
        <v>28</v>
      </c>
      <c r="B34" s="111" t="s">
        <v>30</v>
      </c>
      <c r="C34" s="104">
        <v>0.29399999999999998</v>
      </c>
      <c r="D34" s="103">
        <v>0.50900000000000001</v>
      </c>
      <c r="E34" s="116">
        <v>-0.42239685658153198</v>
      </c>
      <c r="F34" s="104">
        <v>0.75600000000000001</v>
      </c>
      <c r="G34" s="119">
        <v>0.38888888888888901</v>
      </c>
    </row>
    <row r="35" spans="1:7" x14ac:dyDescent="0.2">
      <c r="A35" s="111" t="s">
        <v>28</v>
      </c>
      <c r="B35" s="111" t="s">
        <v>31</v>
      </c>
      <c r="C35" s="104">
        <v>2.0710000000000002</v>
      </c>
      <c r="D35" s="103">
        <v>2.34</v>
      </c>
      <c r="E35" s="116">
        <v>-0.11495726495726499</v>
      </c>
      <c r="F35" s="104">
        <v>1.8680000000000001</v>
      </c>
      <c r="G35" s="119">
        <v>1.1086723768736599</v>
      </c>
    </row>
    <row r="36" spans="1:7" x14ac:dyDescent="0.2">
      <c r="A36" s="111" t="s">
        <v>28</v>
      </c>
      <c r="B36" s="111" t="s">
        <v>68</v>
      </c>
      <c r="C36" s="104">
        <v>1.262</v>
      </c>
      <c r="D36" s="103">
        <v>2.1640000000000001</v>
      </c>
      <c r="E36" s="116">
        <v>-0.41682070240295799</v>
      </c>
      <c r="F36" s="104">
        <v>2.298</v>
      </c>
      <c r="G36" s="119">
        <v>0.54917319408180998</v>
      </c>
    </row>
    <row r="37" spans="1:7" x14ac:dyDescent="0.2">
      <c r="A37" s="111" t="s">
        <v>28</v>
      </c>
      <c r="B37" s="111" t="s">
        <v>32</v>
      </c>
      <c r="C37" s="104">
        <v>1.55</v>
      </c>
      <c r="D37" s="103">
        <v>2.0550000000000002</v>
      </c>
      <c r="E37" s="116">
        <v>-0.24574209245742101</v>
      </c>
      <c r="F37" s="104">
        <v>1.512</v>
      </c>
      <c r="G37" s="119">
        <v>1.02513227513228</v>
      </c>
    </row>
    <row r="38" spans="1:7" x14ac:dyDescent="0.2">
      <c r="A38" s="111" t="s">
        <v>28</v>
      </c>
      <c r="B38" s="111" t="s">
        <v>33</v>
      </c>
      <c r="C38" s="104">
        <v>1.4910000000000001</v>
      </c>
      <c r="D38" s="103">
        <v>2.0819999999999999</v>
      </c>
      <c r="E38" s="116">
        <v>-0.28386167146974101</v>
      </c>
      <c r="F38" s="104">
        <v>2.0819999999999999</v>
      </c>
      <c r="G38" s="119">
        <v>0.71613832853025894</v>
      </c>
    </row>
    <row r="39" spans="1:7" x14ac:dyDescent="0.2">
      <c r="A39" s="111" t="s">
        <v>28</v>
      </c>
      <c r="B39" s="111" t="s">
        <v>13</v>
      </c>
      <c r="C39" s="104">
        <v>9.1999999999999998E-2</v>
      </c>
      <c r="D39" s="103">
        <v>4.1000000000000002E-2</v>
      </c>
      <c r="E39" s="116">
        <v>1.24390243902439</v>
      </c>
      <c r="F39" s="104"/>
      <c r="G39" s="109" t="s">
        <v>69</v>
      </c>
    </row>
    <row r="40" spans="1:7" x14ac:dyDescent="0.2">
      <c r="A40" s="111" t="s">
        <v>28</v>
      </c>
      <c r="B40" s="114" t="s">
        <v>4</v>
      </c>
      <c r="C40" s="106">
        <v>7.4669999999999996</v>
      </c>
      <c r="D40" s="105">
        <v>10.516999999999999</v>
      </c>
      <c r="E40" s="117">
        <v>-0.29000665589046298</v>
      </c>
      <c r="F40" s="106">
        <v>9.8000000000000007</v>
      </c>
      <c r="G40" s="120">
        <v>0.76193877551020406</v>
      </c>
    </row>
    <row r="41" spans="1:7" x14ac:dyDescent="0.2">
      <c r="A41" s="115" t="s">
        <v>36</v>
      </c>
      <c r="B41" s="112"/>
      <c r="C41" s="108">
        <v>35.893999999999998</v>
      </c>
      <c r="D41" s="107">
        <v>45.45</v>
      </c>
      <c r="E41" s="118">
        <v>-0.21025302530253001</v>
      </c>
      <c r="F41" s="108">
        <v>46.4</v>
      </c>
      <c r="G41" s="121">
        <v>0.77357758620689698</v>
      </c>
    </row>
  </sheetData>
  <phoneticPr fontId="19" type="noConversion"/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zoomScale="85" zoomScaleNormal="85" workbookViewId="0">
      <selection activeCell="C47" sqref="C47"/>
    </sheetView>
  </sheetViews>
  <sheetFormatPr defaultRowHeight="14.25" x14ac:dyDescent="0.2"/>
  <cols>
    <col min="1" max="1" width="15.5" customWidth="1"/>
    <col min="2" max="2" width="23.875" customWidth="1"/>
    <col min="3" max="11" width="28.375" customWidth="1"/>
  </cols>
  <sheetData>
    <row r="1" spans="1:11" x14ac:dyDescent="0.2">
      <c r="A1" s="1" t="s">
        <v>71</v>
      </c>
    </row>
    <row r="2" spans="1:11" x14ac:dyDescent="0.2">
      <c r="A2" s="2"/>
    </row>
    <row r="3" spans="1:11" x14ac:dyDescent="0.2">
      <c r="A3" s="110" t="s">
        <v>85</v>
      </c>
      <c r="B3" s="110" t="s">
        <v>85</v>
      </c>
      <c r="C3" s="111" t="s">
        <v>61</v>
      </c>
      <c r="D3" s="111" t="s">
        <v>61</v>
      </c>
      <c r="E3" s="111" t="s">
        <v>61</v>
      </c>
      <c r="F3" s="111" t="s">
        <v>61</v>
      </c>
      <c r="G3" s="111" t="s">
        <v>61</v>
      </c>
      <c r="H3" s="111" t="s">
        <v>61</v>
      </c>
      <c r="I3" s="111" t="s">
        <v>61</v>
      </c>
      <c r="J3" s="111" t="s">
        <v>61</v>
      </c>
      <c r="K3" s="111" t="s">
        <v>61</v>
      </c>
    </row>
    <row r="4" spans="1:11" x14ac:dyDescent="0.2">
      <c r="A4" s="110" t="s">
        <v>85</v>
      </c>
      <c r="B4" s="110" t="s">
        <v>1</v>
      </c>
      <c r="C4" s="113" t="s">
        <v>2</v>
      </c>
      <c r="D4" s="113" t="s">
        <v>2</v>
      </c>
      <c r="E4" s="113" t="s">
        <v>2</v>
      </c>
      <c r="F4" s="113" t="s">
        <v>2</v>
      </c>
      <c r="G4" s="113" t="s">
        <v>2</v>
      </c>
      <c r="H4" s="113" t="s">
        <v>2</v>
      </c>
      <c r="I4" s="113" t="s">
        <v>2</v>
      </c>
      <c r="J4" s="113" t="s">
        <v>2</v>
      </c>
      <c r="K4" s="111" t="s">
        <v>2</v>
      </c>
    </row>
    <row r="5" spans="1:11" x14ac:dyDescent="0.2">
      <c r="A5" s="110" t="s">
        <v>3</v>
      </c>
      <c r="B5" s="110" t="s">
        <v>86</v>
      </c>
      <c r="C5" s="111" t="s">
        <v>66</v>
      </c>
      <c r="D5" s="111" t="s">
        <v>40</v>
      </c>
      <c r="E5" s="111" t="s">
        <v>41</v>
      </c>
      <c r="F5" s="111" t="s">
        <v>42</v>
      </c>
      <c r="G5" s="111" t="s">
        <v>43</v>
      </c>
      <c r="H5" s="111" t="s">
        <v>44</v>
      </c>
      <c r="I5" s="111" t="s">
        <v>72</v>
      </c>
      <c r="J5" s="111" t="s">
        <v>73</v>
      </c>
      <c r="K5" s="124" t="s">
        <v>4</v>
      </c>
    </row>
    <row r="6" spans="1:11" x14ac:dyDescent="0.2">
      <c r="A6" s="111" t="s">
        <v>5</v>
      </c>
      <c r="B6" s="111" t="s">
        <v>6</v>
      </c>
      <c r="C6" s="104">
        <v>0.16</v>
      </c>
      <c r="D6" s="104">
        <v>0.19</v>
      </c>
      <c r="E6" s="104">
        <v>0.27500000000000002</v>
      </c>
      <c r="F6" s="104">
        <v>0.19500000000000001</v>
      </c>
      <c r="G6" s="104">
        <v>0.248</v>
      </c>
      <c r="H6" s="104">
        <v>0.14899999999999999</v>
      </c>
      <c r="I6" s="104">
        <v>0.115</v>
      </c>
      <c r="J6" s="104"/>
      <c r="K6" s="122">
        <v>1.3320000000000001</v>
      </c>
    </row>
    <row r="7" spans="1:11" x14ac:dyDescent="0.2">
      <c r="A7" s="111" t="s">
        <v>5</v>
      </c>
      <c r="B7" s="111" t="s">
        <v>7</v>
      </c>
      <c r="C7" s="104"/>
      <c r="D7" s="104">
        <v>2.3E-2</v>
      </c>
      <c r="E7" s="104">
        <v>0.32600000000000001</v>
      </c>
      <c r="F7" s="104"/>
      <c r="G7" s="104">
        <v>1.79</v>
      </c>
      <c r="H7" s="104">
        <v>0.5</v>
      </c>
      <c r="I7" s="104"/>
      <c r="J7" s="104">
        <v>1.51</v>
      </c>
      <c r="K7" s="122">
        <v>4.149</v>
      </c>
    </row>
    <row r="8" spans="1:11" x14ac:dyDescent="0.2">
      <c r="A8" s="111" t="s">
        <v>5</v>
      </c>
      <c r="B8" s="111" t="s">
        <v>8</v>
      </c>
      <c r="C8" s="104">
        <v>0.191</v>
      </c>
      <c r="D8" s="104">
        <v>0.161</v>
      </c>
      <c r="E8" s="104">
        <v>0.23499999999999999</v>
      </c>
      <c r="F8" s="104">
        <v>0.21099999999999999</v>
      </c>
      <c r="G8" s="104">
        <v>0.21099999999999999</v>
      </c>
      <c r="H8" s="104">
        <v>0.21</v>
      </c>
      <c r="I8" s="104">
        <v>0.318</v>
      </c>
      <c r="J8" s="104"/>
      <c r="K8" s="122">
        <v>1.5369999999999999</v>
      </c>
    </row>
    <row r="9" spans="1:11" x14ac:dyDescent="0.2">
      <c r="A9" s="111" t="s">
        <v>5</v>
      </c>
      <c r="B9" s="111" t="s">
        <v>9</v>
      </c>
      <c r="C9" s="104">
        <v>0.126</v>
      </c>
      <c r="D9" s="104">
        <v>0.12</v>
      </c>
      <c r="E9" s="104">
        <v>0.16200000000000001</v>
      </c>
      <c r="F9" s="104">
        <v>0.14499999999999999</v>
      </c>
      <c r="G9" s="104">
        <v>9.1999999999999998E-2</v>
      </c>
      <c r="H9" s="104">
        <v>0.104</v>
      </c>
      <c r="I9" s="104">
        <v>0.13600000000000001</v>
      </c>
      <c r="J9" s="104"/>
      <c r="K9" s="122">
        <v>0.88500000000000001</v>
      </c>
    </row>
    <row r="10" spans="1:11" x14ac:dyDescent="0.2">
      <c r="A10" s="111" t="s">
        <v>5</v>
      </c>
      <c r="B10" s="111" t="s">
        <v>10</v>
      </c>
      <c r="C10" s="104">
        <v>0.16800000000000001</v>
      </c>
      <c r="D10" s="104">
        <v>8.7999999999999995E-2</v>
      </c>
      <c r="E10" s="104">
        <v>0.16700000000000001</v>
      </c>
      <c r="F10" s="104">
        <v>7.8E-2</v>
      </c>
      <c r="G10" s="104">
        <v>0.128</v>
      </c>
      <c r="H10" s="104">
        <v>0.10299999999999999</v>
      </c>
      <c r="I10" s="104">
        <v>5.8000000000000003E-2</v>
      </c>
      <c r="J10" s="104"/>
      <c r="K10" s="122">
        <v>0.79</v>
      </c>
    </row>
    <row r="11" spans="1:11" x14ac:dyDescent="0.2">
      <c r="A11" s="111" t="s">
        <v>5</v>
      </c>
      <c r="B11" s="111" t="s">
        <v>11</v>
      </c>
      <c r="C11" s="104">
        <v>0.26100000000000001</v>
      </c>
      <c r="D11" s="104">
        <v>0.185</v>
      </c>
      <c r="E11" s="104">
        <v>0.25600000000000001</v>
      </c>
      <c r="F11" s="104">
        <v>0.23100000000000001</v>
      </c>
      <c r="G11" s="104">
        <v>0.245</v>
      </c>
      <c r="H11" s="104">
        <v>0.26700000000000002</v>
      </c>
      <c r="I11" s="104">
        <v>0.27600000000000002</v>
      </c>
      <c r="J11" s="104"/>
      <c r="K11" s="122">
        <v>1.7210000000000001</v>
      </c>
    </row>
    <row r="12" spans="1:11" x14ac:dyDescent="0.2">
      <c r="A12" s="111" t="s">
        <v>5</v>
      </c>
      <c r="B12" s="111" t="s">
        <v>12</v>
      </c>
      <c r="C12" s="104">
        <v>0.42799999999999999</v>
      </c>
      <c r="D12" s="104">
        <v>8.7999999999999995E-2</v>
      </c>
      <c r="E12" s="104">
        <v>0.376</v>
      </c>
      <c r="F12" s="104">
        <v>0.312</v>
      </c>
      <c r="G12" s="104">
        <v>0.2</v>
      </c>
      <c r="H12" s="104">
        <v>0.33800000000000002</v>
      </c>
      <c r="I12" s="104">
        <v>0.36699999999999999</v>
      </c>
      <c r="J12" s="104">
        <v>1.6E-2</v>
      </c>
      <c r="K12" s="122">
        <v>2.125</v>
      </c>
    </row>
    <row r="13" spans="1:11" x14ac:dyDescent="0.2">
      <c r="A13" s="111" t="s">
        <v>5</v>
      </c>
      <c r="B13" s="111" t="s">
        <v>13</v>
      </c>
      <c r="C13" s="104"/>
      <c r="D13" s="104"/>
      <c r="E13" s="104">
        <v>1.4E-2</v>
      </c>
      <c r="F13" s="104"/>
      <c r="G13" s="104"/>
      <c r="H13" s="104"/>
      <c r="I13" s="104"/>
      <c r="J13" s="104"/>
      <c r="K13" s="122">
        <v>1.4E-2</v>
      </c>
    </row>
    <row r="14" spans="1:11" x14ac:dyDescent="0.2">
      <c r="A14" s="111" t="s">
        <v>5</v>
      </c>
      <c r="B14" s="114" t="s">
        <v>4</v>
      </c>
      <c r="C14" s="106">
        <v>1.3340000000000001</v>
      </c>
      <c r="D14" s="106">
        <v>0.85499999999999998</v>
      </c>
      <c r="E14" s="106">
        <v>1.8109999999999999</v>
      </c>
      <c r="F14" s="106">
        <v>1.1719999999999999</v>
      </c>
      <c r="G14" s="106">
        <v>2.9140000000000001</v>
      </c>
      <c r="H14" s="106">
        <v>1.671</v>
      </c>
      <c r="I14" s="106">
        <v>1.27</v>
      </c>
      <c r="J14" s="106">
        <v>1.526</v>
      </c>
      <c r="K14" s="122">
        <v>12.553000000000001</v>
      </c>
    </row>
    <row r="15" spans="1:11" x14ac:dyDescent="0.2">
      <c r="A15" s="111" t="s">
        <v>14</v>
      </c>
      <c r="B15" s="111" t="s">
        <v>15</v>
      </c>
      <c r="C15" s="104">
        <v>0.06</v>
      </c>
      <c r="D15" s="104">
        <v>2.1000000000000001E-2</v>
      </c>
      <c r="E15" s="104">
        <v>1.2999999999999999E-2</v>
      </c>
      <c r="F15" s="104">
        <v>1.4999999999999999E-2</v>
      </c>
      <c r="G15" s="104">
        <v>2.1000000000000001E-2</v>
      </c>
      <c r="H15" s="104">
        <v>7.4999999999999997E-2</v>
      </c>
      <c r="I15" s="104">
        <v>2.1999999999999999E-2</v>
      </c>
      <c r="J15" s="104"/>
      <c r="K15" s="122">
        <v>0.22700000000000001</v>
      </c>
    </row>
    <row r="16" spans="1:11" x14ac:dyDescent="0.2">
      <c r="A16" s="111" t="s">
        <v>14</v>
      </c>
      <c r="B16" s="111" t="s">
        <v>16</v>
      </c>
      <c r="C16" s="104">
        <v>0.17499999999999999</v>
      </c>
      <c r="D16" s="104">
        <v>6.4000000000000001E-2</v>
      </c>
      <c r="E16" s="104">
        <v>4.5999999999999999E-2</v>
      </c>
      <c r="F16" s="104">
        <v>4.7E-2</v>
      </c>
      <c r="G16" s="104">
        <v>0.11</v>
      </c>
      <c r="H16" s="104">
        <v>7.4999999999999997E-2</v>
      </c>
      <c r="I16" s="104">
        <v>0.16</v>
      </c>
      <c r="J16" s="104"/>
      <c r="K16" s="122">
        <v>0.67700000000000005</v>
      </c>
    </row>
    <row r="17" spans="1:11" x14ac:dyDescent="0.2">
      <c r="A17" s="111" t="s">
        <v>14</v>
      </c>
      <c r="B17" s="111" t="s">
        <v>17</v>
      </c>
      <c r="C17" s="104">
        <v>0.12</v>
      </c>
      <c r="D17" s="104">
        <v>3.7999999999999999E-2</v>
      </c>
      <c r="E17" s="104">
        <v>4.4999999999999998E-2</v>
      </c>
      <c r="F17" s="104">
        <v>3.5000000000000003E-2</v>
      </c>
      <c r="G17" s="104">
        <v>3.3000000000000002E-2</v>
      </c>
      <c r="H17" s="104">
        <v>9.4E-2</v>
      </c>
      <c r="I17" s="104">
        <v>2.5000000000000001E-2</v>
      </c>
      <c r="J17" s="104"/>
      <c r="K17" s="122">
        <v>0.39</v>
      </c>
    </row>
    <row r="18" spans="1:11" x14ac:dyDescent="0.2">
      <c r="A18" s="111" t="s">
        <v>14</v>
      </c>
      <c r="B18" s="111" t="s">
        <v>18</v>
      </c>
      <c r="C18" s="104">
        <v>0.215</v>
      </c>
      <c r="D18" s="104">
        <v>0.22900000000000001</v>
      </c>
      <c r="E18" s="104">
        <v>0.29699999999999999</v>
      </c>
      <c r="F18" s="104">
        <v>0.254</v>
      </c>
      <c r="G18" s="104">
        <v>0.24199999999999999</v>
      </c>
      <c r="H18" s="104">
        <v>0.27300000000000002</v>
      </c>
      <c r="I18" s="104">
        <v>0.26600000000000001</v>
      </c>
      <c r="J18" s="104"/>
      <c r="K18" s="122">
        <v>1.776</v>
      </c>
    </row>
    <row r="19" spans="1:11" x14ac:dyDescent="0.2">
      <c r="A19" s="111" t="s">
        <v>14</v>
      </c>
      <c r="B19" s="111" t="s">
        <v>19</v>
      </c>
      <c r="C19" s="104">
        <v>0.441</v>
      </c>
      <c r="D19" s="104">
        <v>0.318</v>
      </c>
      <c r="E19" s="104">
        <v>0.38400000000000001</v>
      </c>
      <c r="F19" s="104">
        <v>0.26500000000000001</v>
      </c>
      <c r="G19" s="104">
        <v>0.313</v>
      </c>
      <c r="H19" s="104">
        <v>0.25900000000000001</v>
      </c>
      <c r="I19" s="104">
        <v>0.246</v>
      </c>
      <c r="J19" s="104"/>
      <c r="K19" s="122">
        <v>2.226</v>
      </c>
    </row>
    <row r="20" spans="1:11" x14ac:dyDescent="0.2">
      <c r="A20" s="111" t="s">
        <v>14</v>
      </c>
      <c r="B20" s="111" t="s">
        <v>20</v>
      </c>
      <c r="C20" s="104">
        <v>0.111</v>
      </c>
      <c r="D20" s="104">
        <v>6.5000000000000002E-2</v>
      </c>
      <c r="E20" s="104">
        <v>3.5000000000000003E-2</v>
      </c>
      <c r="F20" s="104">
        <v>7.4999999999999997E-2</v>
      </c>
      <c r="G20" s="104">
        <v>0.06</v>
      </c>
      <c r="H20" s="104">
        <v>6.7000000000000004E-2</v>
      </c>
      <c r="I20" s="104">
        <v>3.1E-2</v>
      </c>
      <c r="J20" s="104"/>
      <c r="K20" s="122">
        <v>0.44400000000000001</v>
      </c>
    </row>
    <row r="21" spans="1:11" x14ac:dyDescent="0.2">
      <c r="A21" s="111" t="s">
        <v>14</v>
      </c>
      <c r="B21" s="111" t="s">
        <v>21</v>
      </c>
      <c r="C21" s="104">
        <v>0.35699999999999998</v>
      </c>
      <c r="D21" s="104">
        <v>0.186</v>
      </c>
      <c r="E21" s="104">
        <v>0.27700000000000002</v>
      </c>
      <c r="F21" s="104">
        <v>0.161</v>
      </c>
      <c r="G21" s="104">
        <v>0.19</v>
      </c>
      <c r="H21" s="104">
        <v>0.32900000000000001</v>
      </c>
      <c r="I21" s="104">
        <v>0.27400000000000002</v>
      </c>
      <c r="J21" s="104"/>
      <c r="K21" s="122">
        <v>1.774</v>
      </c>
    </row>
    <row r="22" spans="1:11" x14ac:dyDescent="0.2">
      <c r="A22" s="111" t="s">
        <v>14</v>
      </c>
      <c r="B22" s="114" t="s">
        <v>4</v>
      </c>
      <c r="C22" s="106">
        <v>1.4790000000000001</v>
      </c>
      <c r="D22" s="106">
        <v>0.92100000000000004</v>
      </c>
      <c r="E22" s="106">
        <v>1.097</v>
      </c>
      <c r="F22" s="106">
        <v>0.85199999999999998</v>
      </c>
      <c r="G22" s="106">
        <v>0.96899999999999997</v>
      </c>
      <c r="H22" s="106">
        <v>1.1719999999999999</v>
      </c>
      <c r="I22" s="106">
        <v>1.024</v>
      </c>
      <c r="J22" s="106"/>
      <c r="K22" s="122">
        <v>7.5140000000000002</v>
      </c>
    </row>
    <row r="23" spans="1:11" x14ac:dyDescent="0.2">
      <c r="A23" s="111" t="s">
        <v>34</v>
      </c>
      <c r="B23" s="111" t="s">
        <v>35</v>
      </c>
      <c r="C23" s="104"/>
      <c r="D23" s="104"/>
      <c r="E23" s="104">
        <v>0.1</v>
      </c>
      <c r="F23" s="104"/>
      <c r="G23" s="104"/>
      <c r="H23" s="104"/>
      <c r="I23" s="104"/>
      <c r="J23" s="104"/>
      <c r="K23" s="122">
        <v>0.1</v>
      </c>
    </row>
    <row r="24" spans="1:11" x14ac:dyDescent="0.2">
      <c r="A24" s="111" t="s">
        <v>34</v>
      </c>
      <c r="B24" s="114" t="s">
        <v>4</v>
      </c>
      <c r="C24" s="106"/>
      <c r="D24" s="106"/>
      <c r="E24" s="106">
        <v>0.1</v>
      </c>
      <c r="F24" s="106"/>
      <c r="G24" s="106"/>
      <c r="H24" s="106"/>
      <c r="I24" s="106"/>
      <c r="J24" s="106"/>
      <c r="K24" s="122">
        <v>0.1</v>
      </c>
    </row>
    <row r="25" spans="1:11" x14ac:dyDescent="0.2">
      <c r="A25" s="111" t="s">
        <v>22</v>
      </c>
      <c r="B25" s="111" t="s">
        <v>23</v>
      </c>
      <c r="C25" s="104">
        <v>0.11600000000000001</v>
      </c>
      <c r="D25" s="104">
        <v>6.0999999999999999E-2</v>
      </c>
      <c r="E25" s="104">
        <v>9.7000000000000003E-2</v>
      </c>
      <c r="F25" s="104">
        <v>6.5000000000000002E-2</v>
      </c>
      <c r="G25" s="104">
        <v>7.9000000000000001E-2</v>
      </c>
      <c r="H25" s="104">
        <v>7.0000000000000007E-2</v>
      </c>
      <c r="I25" s="104">
        <v>0.03</v>
      </c>
      <c r="J25" s="104"/>
      <c r="K25" s="122">
        <v>0.51800000000000002</v>
      </c>
    </row>
    <row r="26" spans="1:11" x14ac:dyDescent="0.2">
      <c r="A26" s="111" t="s">
        <v>22</v>
      </c>
      <c r="B26" s="111" t="s">
        <v>24</v>
      </c>
      <c r="C26" s="104">
        <v>0.36599999999999999</v>
      </c>
      <c r="D26" s="104">
        <v>0.309</v>
      </c>
      <c r="E26" s="104">
        <v>0.38200000000000001</v>
      </c>
      <c r="F26" s="104">
        <v>0.248</v>
      </c>
      <c r="G26" s="104">
        <v>0.32</v>
      </c>
      <c r="H26" s="104">
        <v>0.33</v>
      </c>
      <c r="I26" s="104">
        <v>0.27</v>
      </c>
      <c r="J26" s="104"/>
      <c r="K26" s="122">
        <v>2.2250000000000001</v>
      </c>
    </row>
    <row r="27" spans="1:11" x14ac:dyDescent="0.2">
      <c r="A27" s="111" t="s">
        <v>22</v>
      </c>
      <c r="B27" s="111" t="s">
        <v>25</v>
      </c>
      <c r="C27" s="104">
        <v>0.375</v>
      </c>
      <c r="D27" s="104">
        <v>0.13</v>
      </c>
      <c r="E27" s="104">
        <v>0.314</v>
      </c>
      <c r="F27" s="104">
        <v>0.32400000000000001</v>
      </c>
      <c r="G27" s="104">
        <v>0.33</v>
      </c>
      <c r="H27" s="104">
        <v>0.23</v>
      </c>
      <c r="I27" s="104">
        <v>0.371</v>
      </c>
      <c r="J27" s="104"/>
      <c r="K27" s="122">
        <v>2.0739999999999998</v>
      </c>
    </row>
    <row r="28" spans="1:11" x14ac:dyDescent="0.2">
      <c r="A28" s="111" t="s">
        <v>22</v>
      </c>
      <c r="B28" s="111" t="s">
        <v>26</v>
      </c>
      <c r="C28" s="104">
        <v>0.16</v>
      </c>
      <c r="D28" s="104">
        <v>9.0999999999999998E-2</v>
      </c>
      <c r="E28" s="104">
        <v>0.16300000000000001</v>
      </c>
      <c r="F28" s="104">
        <v>0.13200000000000001</v>
      </c>
      <c r="G28" s="104">
        <v>0.12</v>
      </c>
      <c r="H28" s="104">
        <v>0.14799999999999999</v>
      </c>
      <c r="I28" s="104">
        <v>0.08</v>
      </c>
      <c r="J28" s="104"/>
      <c r="K28" s="122">
        <v>0.89400000000000002</v>
      </c>
    </row>
    <row r="29" spans="1:11" x14ac:dyDescent="0.2">
      <c r="A29" s="111" t="s">
        <v>22</v>
      </c>
      <c r="B29" s="111" t="s">
        <v>27</v>
      </c>
      <c r="C29" s="104">
        <v>0.45500000000000002</v>
      </c>
      <c r="D29" s="104">
        <v>0.35499999999999998</v>
      </c>
      <c r="E29" s="104">
        <v>0.47</v>
      </c>
      <c r="F29" s="104">
        <v>0.35</v>
      </c>
      <c r="G29" s="104">
        <v>0.41299999999999998</v>
      </c>
      <c r="H29" s="104">
        <v>0.37</v>
      </c>
      <c r="I29" s="104">
        <v>0.126</v>
      </c>
      <c r="J29" s="104"/>
      <c r="K29" s="122">
        <v>2.5390000000000001</v>
      </c>
    </row>
    <row r="30" spans="1:11" x14ac:dyDescent="0.2">
      <c r="A30" s="111" t="s">
        <v>22</v>
      </c>
      <c r="B30" s="111" t="s">
        <v>13</v>
      </c>
      <c r="C30" s="104"/>
      <c r="D30" s="104">
        <v>2E-3</v>
      </c>
      <c r="E30" s="104">
        <v>2E-3</v>
      </c>
      <c r="F30" s="104">
        <v>2E-3</v>
      </c>
      <c r="G30" s="104">
        <v>2E-3</v>
      </c>
      <c r="H30" s="104">
        <v>2E-3</v>
      </c>
      <c r="I30" s="104"/>
      <c r="J30" s="104"/>
      <c r="K30" s="122">
        <v>0.01</v>
      </c>
    </row>
    <row r="31" spans="1:11" x14ac:dyDescent="0.2">
      <c r="A31" s="111" t="s">
        <v>22</v>
      </c>
      <c r="B31" s="114" t="s">
        <v>4</v>
      </c>
      <c r="C31" s="106">
        <v>1.472</v>
      </c>
      <c r="D31" s="106">
        <v>0.94799999999999995</v>
      </c>
      <c r="E31" s="106">
        <v>1.4279999999999999</v>
      </c>
      <c r="F31" s="106">
        <v>1.121</v>
      </c>
      <c r="G31" s="106">
        <v>1.264</v>
      </c>
      <c r="H31" s="106">
        <v>1.1499999999999999</v>
      </c>
      <c r="I31" s="106">
        <v>0.877</v>
      </c>
      <c r="J31" s="106"/>
      <c r="K31" s="122">
        <v>8.26</v>
      </c>
    </row>
    <row r="32" spans="1:11" x14ac:dyDescent="0.2">
      <c r="A32" s="111" t="s">
        <v>28</v>
      </c>
      <c r="B32" s="111" t="s">
        <v>29</v>
      </c>
      <c r="C32" s="104">
        <v>6.4000000000000001E-2</v>
      </c>
      <c r="D32" s="104">
        <v>0.104</v>
      </c>
      <c r="E32" s="104">
        <v>0.151</v>
      </c>
      <c r="F32" s="104">
        <v>0.09</v>
      </c>
      <c r="G32" s="104">
        <v>0.124</v>
      </c>
      <c r="H32" s="104">
        <v>8.6999999999999994E-2</v>
      </c>
      <c r="I32" s="104">
        <v>8.6999999999999994E-2</v>
      </c>
      <c r="J32" s="104"/>
      <c r="K32" s="122">
        <v>0.70699999999999996</v>
      </c>
    </row>
    <row r="33" spans="1:11" x14ac:dyDescent="0.2">
      <c r="A33" s="111" t="s">
        <v>28</v>
      </c>
      <c r="B33" s="111" t="s">
        <v>30</v>
      </c>
      <c r="C33" s="104">
        <v>6.3E-2</v>
      </c>
      <c r="D33" s="104">
        <v>2.1000000000000001E-2</v>
      </c>
      <c r="E33" s="104">
        <v>5.6000000000000001E-2</v>
      </c>
      <c r="F33" s="104">
        <v>0.05</v>
      </c>
      <c r="G33" s="104">
        <v>2.5000000000000001E-2</v>
      </c>
      <c r="H33" s="104">
        <v>1.7999999999999999E-2</v>
      </c>
      <c r="I33" s="104">
        <v>6.0999999999999999E-2</v>
      </c>
      <c r="J33" s="104"/>
      <c r="K33" s="122">
        <v>0.29399999999999998</v>
      </c>
    </row>
    <row r="34" spans="1:11" x14ac:dyDescent="0.2">
      <c r="A34" s="111" t="s">
        <v>28</v>
      </c>
      <c r="B34" s="111" t="s">
        <v>31</v>
      </c>
      <c r="C34" s="104">
        <v>0.35499999999999998</v>
      </c>
      <c r="D34" s="104">
        <v>0.26</v>
      </c>
      <c r="E34" s="104">
        <v>0.29599999999999999</v>
      </c>
      <c r="F34" s="104">
        <v>0.245</v>
      </c>
      <c r="G34" s="104">
        <v>0.28999999999999998</v>
      </c>
      <c r="H34" s="104">
        <v>0.315</v>
      </c>
      <c r="I34" s="104">
        <v>0.31</v>
      </c>
      <c r="J34" s="104"/>
      <c r="K34" s="122">
        <v>2.0710000000000002</v>
      </c>
    </row>
    <row r="35" spans="1:11" x14ac:dyDescent="0.2">
      <c r="A35" s="111" t="s">
        <v>28</v>
      </c>
      <c r="B35" s="111" t="s">
        <v>68</v>
      </c>
      <c r="C35" s="104">
        <v>0.155</v>
      </c>
      <c r="D35" s="104">
        <v>0.17</v>
      </c>
      <c r="E35" s="104">
        <v>0.245</v>
      </c>
      <c r="F35" s="104">
        <v>0.17699999999999999</v>
      </c>
      <c r="G35" s="104">
        <v>0.17</v>
      </c>
      <c r="H35" s="104">
        <v>0.20499999999999999</v>
      </c>
      <c r="I35" s="104">
        <v>0.14000000000000001</v>
      </c>
      <c r="J35" s="104"/>
      <c r="K35" s="122">
        <v>1.262</v>
      </c>
    </row>
    <row r="36" spans="1:11" x14ac:dyDescent="0.2">
      <c r="A36" s="111" t="s">
        <v>28</v>
      </c>
      <c r="B36" s="111" t="s">
        <v>32</v>
      </c>
      <c r="C36" s="104">
        <v>0.23</v>
      </c>
      <c r="D36" s="104">
        <v>0.23499999999999999</v>
      </c>
      <c r="E36" s="104">
        <v>0.23499999999999999</v>
      </c>
      <c r="F36" s="104">
        <v>0.22500000000000001</v>
      </c>
      <c r="G36" s="104">
        <v>0.21</v>
      </c>
      <c r="H36" s="104">
        <v>0.21</v>
      </c>
      <c r="I36" s="104">
        <v>0.20499999999999999</v>
      </c>
      <c r="J36" s="104"/>
      <c r="K36" s="122">
        <v>1.55</v>
      </c>
    </row>
    <row r="37" spans="1:11" x14ac:dyDescent="0.2">
      <c r="A37" s="111" t="s">
        <v>28</v>
      </c>
      <c r="B37" s="111" t="s">
        <v>33</v>
      </c>
      <c r="C37" s="104">
        <v>0.20599999999999999</v>
      </c>
      <c r="D37" s="104">
        <v>0.215</v>
      </c>
      <c r="E37" s="104">
        <v>0.28999999999999998</v>
      </c>
      <c r="F37" s="104">
        <v>0.23</v>
      </c>
      <c r="G37" s="104">
        <v>0.215</v>
      </c>
      <c r="H37" s="104">
        <v>0.17</v>
      </c>
      <c r="I37" s="104">
        <v>0.16500000000000001</v>
      </c>
      <c r="J37" s="104"/>
      <c r="K37" s="122">
        <v>1.4910000000000001</v>
      </c>
    </row>
    <row r="38" spans="1:11" x14ac:dyDescent="0.2">
      <c r="A38" s="111" t="s">
        <v>28</v>
      </c>
      <c r="B38" s="111" t="s">
        <v>13</v>
      </c>
      <c r="C38" s="104">
        <v>0.09</v>
      </c>
      <c r="D38" s="104"/>
      <c r="E38" s="104">
        <v>1E-3</v>
      </c>
      <c r="F38" s="104"/>
      <c r="G38" s="104"/>
      <c r="H38" s="104">
        <v>1E-3</v>
      </c>
      <c r="I38" s="104"/>
      <c r="J38" s="104"/>
      <c r="K38" s="122">
        <v>9.1999999999999998E-2</v>
      </c>
    </row>
    <row r="39" spans="1:11" x14ac:dyDescent="0.2">
      <c r="A39" s="111" t="s">
        <v>28</v>
      </c>
      <c r="B39" s="114" t="s">
        <v>4</v>
      </c>
      <c r="C39" s="106">
        <v>1.163</v>
      </c>
      <c r="D39" s="106">
        <v>1.0049999999999999</v>
      </c>
      <c r="E39" s="106">
        <v>1.274</v>
      </c>
      <c r="F39" s="106">
        <v>1.0169999999999999</v>
      </c>
      <c r="G39" s="106">
        <v>1.034</v>
      </c>
      <c r="H39" s="106">
        <v>1.006</v>
      </c>
      <c r="I39" s="106">
        <v>0.96799999999999997</v>
      </c>
      <c r="J39" s="106"/>
      <c r="K39" s="122">
        <v>7.4669999999999996</v>
      </c>
    </row>
    <row r="40" spans="1:11" x14ac:dyDescent="0.2">
      <c r="A40" s="115" t="s">
        <v>36</v>
      </c>
      <c r="B40" s="112"/>
      <c r="C40" s="108">
        <v>5.4480000000000004</v>
      </c>
      <c r="D40" s="108">
        <v>3.7290000000000001</v>
      </c>
      <c r="E40" s="108">
        <v>5.71</v>
      </c>
      <c r="F40" s="108">
        <v>4.1619999999999999</v>
      </c>
      <c r="G40" s="108">
        <v>6.181</v>
      </c>
      <c r="H40" s="108">
        <v>4.9989999999999997</v>
      </c>
      <c r="I40" s="108">
        <v>4.1390000000000002</v>
      </c>
      <c r="J40" s="108">
        <v>1.526</v>
      </c>
      <c r="K40" s="123">
        <v>35.893999999999998</v>
      </c>
    </row>
    <row r="43" spans="1:11" x14ac:dyDescent="0.2">
      <c r="E43" s="141"/>
    </row>
    <row r="44" spans="1:11" x14ac:dyDescent="0.2">
      <c r="E44" s="141"/>
    </row>
    <row r="45" spans="1:11" x14ac:dyDescent="0.2">
      <c r="E45" s="141"/>
    </row>
    <row r="46" spans="1:11" x14ac:dyDescent="0.2">
      <c r="E46" s="141"/>
    </row>
    <row r="47" spans="1:11" x14ac:dyDescent="0.2">
      <c r="E47" s="141"/>
    </row>
    <row r="48" spans="1:11" x14ac:dyDescent="0.2">
      <c r="E48" s="141"/>
    </row>
    <row r="49" spans="5:5" x14ac:dyDescent="0.2">
      <c r="E49" s="141"/>
    </row>
    <row r="50" spans="5:5" x14ac:dyDescent="0.2">
      <c r="E50" s="141"/>
    </row>
    <row r="52" spans="5:5" x14ac:dyDescent="0.2">
      <c r="E52" t="b">
        <f>SUM(E43:E50)=K40</f>
        <v>0</v>
      </c>
    </row>
  </sheetData>
  <phoneticPr fontId="19" type="noConversion"/>
  <pageMargins left="0.7" right="0.7" top="0.75" bottom="0.75" header="0.3" footer="0.3"/>
  <customProperties>
    <customPr name="_pios_id" r:id="rId1"/>
    <customPr name="CofWorksheetType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5"/>
  <sheetViews>
    <sheetView workbookViewId="0">
      <selection activeCell="P23" sqref="P23"/>
    </sheetView>
  </sheetViews>
  <sheetFormatPr defaultRowHeight="14.25" x14ac:dyDescent="0.2"/>
  <cols>
    <col min="1" max="1" width="10.5" bestFit="1" customWidth="1"/>
    <col min="2" max="2" width="15.5" bestFit="1" customWidth="1"/>
    <col min="3" max="9" width="14.25" bestFit="1" customWidth="1"/>
    <col min="10" max="10" width="14.75" bestFit="1" customWidth="1"/>
    <col min="11" max="11" width="10.5" customWidth="1"/>
    <col min="12" max="12" width="12.25" customWidth="1"/>
    <col min="13" max="19" width="14.25" customWidth="1"/>
  </cols>
  <sheetData>
    <row r="3" spans="1:14" x14ac:dyDescent="0.2">
      <c r="A3" s="110" t="s">
        <v>85</v>
      </c>
      <c r="B3" s="110" t="s">
        <v>70</v>
      </c>
      <c r="C3" s="111" t="s">
        <v>2</v>
      </c>
      <c r="D3" s="111" t="s">
        <v>2</v>
      </c>
      <c r="E3" s="111" t="s">
        <v>2</v>
      </c>
      <c r="F3" s="111" t="s">
        <v>2</v>
      </c>
      <c r="G3" s="111" t="s">
        <v>2</v>
      </c>
      <c r="H3" s="111" t="s">
        <v>2</v>
      </c>
      <c r="I3" s="111" t="s">
        <v>2</v>
      </c>
      <c r="K3" s="110" t="s">
        <v>85</v>
      </c>
      <c r="L3" s="110" t="s">
        <v>70</v>
      </c>
      <c r="M3" s="111" t="s">
        <v>2</v>
      </c>
      <c r="N3" s="111" t="s">
        <v>97</v>
      </c>
    </row>
    <row r="4" spans="1:14" x14ac:dyDescent="0.2">
      <c r="A4" s="110" t="s">
        <v>85</v>
      </c>
      <c r="B4" s="110" t="s">
        <v>39</v>
      </c>
      <c r="C4" s="113" t="s">
        <v>90</v>
      </c>
      <c r="D4" s="113" t="s">
        <v>90</v>
      </c>
      <c r="E4" s="113" t="s">
        <v>90</v>
      </c>
      <c r="F4" s="113" t="s">
        <v>90</v>
      </c>
      <c r="G4" s="113" t="s">
        <v>90</v>
      </c>
      <c r="H4" s="113" t="s">
        <v>90</v>
      </c>
      <c r="I4" s="111" t="s">
        <v>90</v>
      </c>
      <c r="K4" s="110" t="s">
        <v>85</v>
      </c>
      <c r="L4" s="110" t="s">
        <v>39</v>
      </c>
      <c r="M4" s="113" t="s">
        <v>90</v>
      </c>
      <c r="N4" s="111" t="s">
        <v>90</v>
      </c>
    </row>
    <row r="5" spans="1:14" x14ac:dyDescent="0.2">
      <c r="A5" s="110" t="s">
        <v>85</v>
      </c>
      <c r="B5" s="110" t="s">
        <v>85</v>
      </c>
      <c r="C5" s="113" t="s">
        <v>46</v>
      </c>
      <c r="D5" s="113" t="s">
        <v>46</v>
      </c>
      <c r="E5" s="113" t="s">
        <v>46</v>
      </c>
      <c r="F5" s="113" t="s">
        <v>46</v>
      </c>
      <c r="G5" s="113" t="s">
        <v>46</v>
      </c>
      <c r="H5" s="113" t="s">
        <v>46</v>
      </c>
      <c r="I5" s="111" t="s">
        <v>46</v>
      </c>
      <c r="K5" s="110" t="s">
        <v>45</v>
      </c>
      <c r="L5" s="110" t="s">
        <v>96</v>
      </c>
      <c r="M5" s="111" t="s">
        <v>46</v>
      </c>
      <c r="N5" s="111" t="s">
        <v>46</v>
      </c>
    </row>
    <row r="6" spans="1:14" x14ac:dyDescent="0.2">
      <c r="A6" s="110" t="s">
        <v>45</v>
      </c>
      <c r="B6" s="110" t="s">
        <v>87</v>
      </c>
      <c r="C6" s="111" t="s">
        <v>40</v>
      </c>
      <c r="D6" s="111" t="s">
        <v>66</v>
      </c>
      <c r="E6" s="111" t="s">
        <v>41</v>
      </c>
      <c r="F6" s="111" t="s">
        <v>42</v>
      </c>
      <c r="G6" s="111" t="s">
        <v>43</v>
      </c>
      <c r="H6" s="111" t="s">
        <v>44</v>
      </c>
      <c r="I6" s="124" t="s">
        <v>4</v>
      </c>
      <c r="K6" s="111" t="s">
        <v>5</v>
      </c>
      <c r="L6" s="111" t="s">
        <v>6</v>
      </c>
      <c r="M6" s="116">
        <v>0.92857142857142905</v>
      </c>
      <c r="N6" s="119">
        <v>0.97619047619047605</v>
      </c>
    </row>
    <row r="7" spans="1:14" x14ac:dyDescent="0.2">
      <c r="A7" s="111" t="s">
        <v>5</v>
      </c>
      <c r="B7" s="111" t="s">
        <v>6</v>
      </c>
      <c r="C7" s="116">
        <v>0.64791133844842308</v>
      </c>
      <c r="D7" s="116">
        <v>0.95063291139240502</v>
      </c>
      <c r="E7" s="116">
        <v>0.66285119667013503</v>
      </c>
      <c r="F7" s="116">
        <v>0.59119496855345899</v>
      </c>
      <c r="G7" s="116">
        <v>0.66382252559726995</v>
      </c>
      <c r="H7" s="116">
        <v>0.575949367088608</v>
      </c>
      <c r="I7" s="120">
        <v>0.78303850156087407</v>
      </c>
      <c r="K7" s="111" t="s">
        <v>5</v>
      </c>
      <c r="L7" s="111" t="s">
        <v>8</v>
      </c>
      <c r="M7" s="116">
        <v>0.96240601503759393</v>
      </c>
      <c r="N7" s="119">
        <v>0.97744360902255589</v>
      </c>
    </row>
    <row r="8" spans="1:14" x14ac:dyDescent="0.2">
      <c r="A8" s="111" t="s">
        <v>5</v>
      </c>
      <c r="B8" s="111" t="s">
        <v>8</v>
      </c>
      <c r="C8" s="116">
        <v>0.90165745856353596</v>
      </c>
      <c r="D8" s="116">
        <v>0.893455098934551</v>
      </c>
      <c r="E8" s="116">
        <v>0.88591117917304696</v>
      </c>
      <c r="F8" s="116">
        <v>0.96242774566473999</v>
      </c>
      <c r="G8" s="116">
        <v>0.9102990033222591</v>
      </c>
      <c r="H8" s="116">
        <v>0.95375722543352592</v>
      </c>
      <c r="I8" s="120">
        <v>0.89433384379785597</v>
      </c>
      <c r="K8" s="111" t="s">
        <v>5</v>
      </c>
      <c r="L8" s="111" t="s">
        <v>9</v>
      </c>
      <c r="M8" s="116">
        <v>1</v>
      </c>
      <c r="N8" s="119">
        <v>1</v>
      </c>
    </row>
    <row r="9" spans="1:14" x14ac:dyDescent="0.2">
      <c r="A9" s="111" t="s">
        <v>5</v>
      </c>
      <c r="B9" s="111" t="s">
        <v>9</v>
      </c>
      <c r="C9" s="116">
        <v>0.88354037267080698</v>
      </c>
      <c r="D9" s="116">
        <v>0.97457627118644097</v>
      </c>
      <c r="E9" s="116">
        <v>0.84623015873015905</v>
      </c>
      <c r="F9" s="116">
        <v>0.9375</v>
      </c>
      <c r="G9" s="116">
        <v>0.91981132075471705</v>
      </c>
      <c r="H9" s="116">
        <v>0.9354838709677421</v>
      </c>
      <c r="I9" s="120">
        <v>0.87797619047619091</v>
      </c>
      <c r="K9" s="111" t="s">
        <v>5</v>
      </c>
      <c r="L9" s="111" t="s">
        <v>10</v>
      </c>
      <c r="M9" s="116">
        <v>1</v>
      </c>
      <c r="N9" s="119">
        <v>1</v>
      </c>
    </row>
    <row r="10" spans="1:14" x14ac:dyDescent="0.2">
      <c r="A10" s="111" t="s">
        <v>5</v>
      </c>
      <c r="B10" s="111" t="s">
        <v>10</v>
      </c>
      <c r="C10" s="116">
        <v>0.94216867469879506</v>
      </c>
      <c r="D10" s="116">
        <v>0.98996655518394605</v>
      </c>
      <c r="E10" s="116">
        <v>0.94047619047619091</v>
      </c>
      <c r="F10" s="116">
        <v>0.98095238095238102</v>
      </c>
      <c r="G10" s="116">
        <v>0.96825396825396792</v>
      </c>
      <c r="H10" s="116">
        <v>1</v>
      </c>
      <c r="I10" s="120">
        <v>0.94494047619047605</v>
      </c>
      <c r="K10" s="111" t="s">
        <v>5</v>
      </c>
      <c r="L10" s="111" t="s">
        <v>11</v>
      </c>
      <c r="M10" s="116">
        <v>1</v>
      </c>
      <c r="N10" s="119">
        <v>1</v>
      </c>
    </row>
    <row r="11" spans="1:14" x14ac:dyDescent="0.2">
      <c r="A11" s="111" t="s">
        <v>5</v>
      </c>
      <c r="B11" s="111" t="s">
        <v>11</v>
      </c>
      <c r="C11" s="116">
        <v>0.92643391521197005</v>
      </c>
      <c r="D11" s="116">
        <v>0.96271186440677992</v>
      </c>
      <c r="E11" s="116">
        <v>0.95</v>
      </c>
      <c r="F11" s="116">
        <v>0.98124999999999996</v>
      </c>
      <c r="G11" s="116">
        <v>0.94499999999999995</v>
      </c>
      <c r="H11" s="116">
        <v>1</v>
      </c>
      <c r="I11" s="120">
        <v>0.96111111111111103</v>
      </c>
      <c r="K11" s="111" t="s">
        <v>5</v>
      </c>
      <c r="L11" s="111" t="s">
        <v>12</v>
      </c>
      <c r="M11" s="116">
        <v>1</v>
      </c>
      <c r="N11" s="119">
        <v>1</v>
      </c>
    </row>
    <row r="12" spans="1:14" x14ac:dyDescent="0.2">
      <c r="A12" s="111" t="s">
        <v>5</v>
      </c>
      <c r="B12" s="111" t="s">
        <v>12</v>
      </c>
      <c r="C12" s="116">
        <v>0.26489226869455001</v>
      </c>
      <c r="D12" s="116">
        <v>0.68882466281310206</v>
      </c>
      <c r="E12" s="116">
        <v>0.26854802002730999</v>
      </c>
      <c r="F12" s="116">
        <v>0.39384615384615401</v>
      </c>
      <c r="G12" s="116">
        <v>0.29024081115335898</v>
      </c>
      <c r="H12" s="116">
        <v>0.45846153846153798</v>
      </c>
      <c r="I12" s="120">
        <v>0.47701411015020495</v>
      </c>
      <c r="K12" s="111" t="s">
        <v>5</v>
      </c>
      <c r="L12" s="114" t="s">
        <v>4</v>
      </c>
      <c r="M12" s="117">
        <v>0.97324414715719099</v>
      </c>
      <c r="N12" s="120">
        <v>0.98662207357859499</v>
      </c>
    </row>
    <row r="13" spans="1:14" x14ac:dyDescent="0.2">
      <c r="A13" s="111" t="s">
        <v>5</v>
      </c>
      <c r="B13" s="114" t="s">
        <v>4</v>
      </c>
      <c r="C13" s="117">
        <v>0.68914362778152394</v>
      </c>
      <c r="D13" s="117">
        <v>0.88612786489746698</v>
      </c>
      <c r="E13" s="117">
        <v>0.69594670881788401</v>
      </c>
      <c r="F13" s="117">
        <v>0.78529411764705903</v>
      </c>
      <c r="G13" s="117">
        <v>0.70954637779282292</v>
      </c>
      <c r="H13" s="117">
        <v>0.79819954988747199</v>
      </c>
      <c r="I13" s="120">
        <v>0.78062549395958003</v>
      </c>
      <c r="K13" s="111" t="s">
        <v>22</v>
      </c>
      <c r="L13" s="111" t="s">
        <v>23</v>
      </c>
      <c r="M13" s="116">
        <v>1</v>
      </c>
      <c r="N13" s="119">
        <v>1</v>
      </c>
    </row>
    <row r="14" spans="1:14" x14ac:dyDescent="0.2">
      <c r="A14" s="111" t="s">
        <v>22</v>
      </c>
      <c r="B14" s="111" t="s">
        <v>23</v>
      </c>
      <c r="C14" s="116">
        <v>0.13541666666666699</v>
      </c>
      <c r="D14" s="116">
        <v>0.82653061224489799</v>
      </c>
      <c r="E14" s="116">
        <v>0.25392986698911701</v>
      </c>
      <c r="F14" s="116">
        <v>0.52032520325203302</v>
      </c>
      <c r="G14" s="116">
        <v>0.301754385964912</v>
      </c>
      <c r="H14" s="116">
        <v>0.39830508474576298</v>
      </c>
      <c r="I14" s="120">
        <v>0.51753325272067696</v>
      </c>
      <c r="K14" s="111" t="s">
        <v>22</v>
      </c>
      <c r="L14" s="111" t="s">
        <v>24</v>
      </c>
      <c r="M14" s="116">
        <v>0.68421052631578905</v>
      </c>
      <c r="N14" s="119">
        <v>1</v>
      </c>
    </row>
    <row r="15" spans="1:14" x14ac:dyDescent="0.2">
      <c r="A15" s="111" t="s">
        <v>22</v>
      </c>
      <c r="B15" s="111" t="s">
        <v>24</v>
      </c>
      <c r="C15" s="116">
        <v>0.321877065432915</v>
      </c>
      <c r="D15" s="116">
        <v>0.83250000000000002</v>
      </c>
      <c r="E15" s="116">
        <v>0.35536753040719199</v>
      </c>
      <c r="F15" s="116">
        <v>0.65384615384615397</v>
      </c>
      <c r="G15" s="116">
        <v>0.42157511581733897</v>
      </c>
      <c r="H15" s="116">
        <v>0.47422680412371099</v>
      </c>
      <c r="I15" s="120">
        <v>0.58434690639873099</v>
      </c>
      <c r="K15" s="111" t="s">
        <v>22</v>
      </c>
      <c r="L15" s="111" t="s">
        <v>25</v>
      </c>
      <c r="M15" s="116">
        <v>0.875</v>
      </c>
      <c r="N15" s="119">
        <v>1</v>
      </c>
    </row>
    <row r="16" spans="1:14" x14ac:dyDescent="0.2">
      <c r="A16" s="111" t="s">
        <v>22</v>
      </c>
      <c r="B16" s="111" t="s">
        <v>25</v>
      </c>
      <c r="C16" s="116">
        <v>0.44418960244648298</v>
      </c>
      <c r="D16" s="116">
        <v>0.91972789115646292</v>
      </c>
      <c r="E16" s="116">
        <v>0.53485576923076894</v>
      </c>
      <c r="F16" s="116">
        <v>0.62179487179487192</v>
      </c>
      <c r="G16" s="116">
        <v>0.52217125382262997</v>
      </c>
      <c r="H16" s="116">
        <v>0.56129032258064493</v>
      </c>
      <c r="I16" s="120">
        <v>0.73257211538461509</v>
      </c>
      <c r="K16" s="111" t="s">
        <v>22</v>
      </c>
      <c r="L16" s="111" t="s">
        <v>26</v>
      </c>
      <c r="M16" s="116">
        <v>0.93421052631578905</v>
      </c>
      <c r="N16" s="119">
        <v>1</v>
      </c>
    </row>
    <row r="17" spans="1:14" x14ac:dyDescent="0.2">
      <c r="A17" s="111" t="s">
        <v>22</v>
      </c>
      <c r="B17" s="111" t="s">
        <v>26</v>
      </c>
      <c r="C17" s="116">
        <v>0.27552447552447601</v>
      </c>
      <c r="D17" s="116">
        <v>0.953095684803002</v>
      </c>
      <c r="E17" s="116">
        <v>0.27531956735496599</v>
      </c>
      <c r="F17" s="116">
        <v>0.51412429378531099</v>
      </c>
      <c r="G17" s="116">
        <v>0.350631136044881</v>
      </c>
      <c r="H17" s="116">
        <v>0.59036144578313299</v>
      </c>
      <c r="I17" s="120">
        <v>0.59488692232055096</v>
      </c>
      <c r="K17" s="111" t="s">
        <v>22</v>
      </c>
      <c r="L17" s="111" t="s">
        <v>27</v>
      </c>
      <c r="M17" s="116">
        <v>1</v>
      </c>
      <c r="N17" s="119">
        <v>1</v>
      </c>
    </row>
    <row r="18" spans="1:14" x14ac:dyDescent="0.2">
      <c r="A18" s="111" t="s">
        <v>22</v>
      </c>
      <c r="B18" s="111" t="s">
        <v>27</v>
      </c>
      <c r="C18" s="116">
        <v>0.33600583090378999</v>
      </c>
      <c r="D18" s="116">
        <v>0.93298969072164994</v>
      </c>
      <c r="E18" s="116">
        <v>0.39392430278884499</v>
      </c>
      <c r="F18" s="116">
        <v>0.63302752293578002</v>
      </c>
      <c r="G18" s="116">
        <v>0.45912408759124096</v>
      </c>
      <c r="H18" s="116">
        <v>0.596330275229358</v>
      </c>
      <c r="I18" s="120">
        <v>0.67928286852589592</v>
      </c>
      <c r="K18" s="111" t="s">
        <v>22</v>
      </c>
      <c r="L18" s="114" t="s">
        <v>4</v>
      </c>
      <c r="M18" s="117">
        <v>0.91304347826086996</v>
      </c>
      <c r="N18" s="120">
        <v>1</v>
      </c>
    </row>
    <row r="19" spans="1:14" x14ac:dyDescent="0.2">
      <c r="A19" s="111" t="s">
        <v>22</v>
      </c>
      <c r="B19" s="114" t="s">
        <v>4</v>
      </c>
      <c r="C19" s="117">
        <v>0.32895696571845401</v>
      </c>
      <c r="D19" s="117">
        <v>0.89766763848396491</v>
      </c>
      <c r="E19" s="117">
        <v>0.38382611043607395</v>
      </c>
      <c r="F19" s="117">
        <v>0.58146487294469407</v>
      </c>
      <c r="G19" s="117">
        <v>0.43329678362573099</v>
      </c>
      <c r="H19" s="117">
        <v>0.53178294573643403</v>
      </c>
      <c r="I19" s="120">
        <v>0.63737005535304403</v>
      </c>
      <c r="K19" s="111" t="s">
        <v>14</v>
      </c>
      <c r="L19" s="111" t="s">
        <v>15</v>
      </c>
      <c r="M19" s="116">
        <v>0.95</v>
      </c>
      <c r="N19" s="119">
        <v>0.95</v>
      </c>
    </row>
    <row r="20" spans="1:14" x14ac:dyDescent="0.2">
      <c r="A20" s="111" t="s">
        <v>14</v>
      </c>
      <c r="B20" s="111" t="s">
        <v>15</v>
      </c>
      <c r="C20" s="116">
        <v>0.24313725490196098</v>
      </c>
      <c r="D20" s="116">
        <v>0.93920972644376899</v>
      </c>
      <c r="E20" s="116">
        <v>0.22762951334379899</v>
      </c>
      <c r="F20" s="116">
        <v>0.52542372881355903</v>
      </c>
      <c r="G20" s="116">
        <v>0.23913043478260898</v>
      </c>
      <c r="H20" s="116">
        <v>0.47457627118644097</v>
      </c>
      <c r="I20" s="120">
        <v>0.59811616954474101</v>
      </c>
      <c r="K20" s="111" t="s">
        <v>14</v>
      </c>
      <c r="L20" s="111" t="s">
        <v>16</v>
      </c>
      <c r="M20" s="116">
        <v>1</v>
      </c>
      <c r="N20" s="119">
        <v>1</v>
      </c>
    </row>
    <row r="21" spans="1:14" x14ac:dyDescent="0.2">
      <c r="A21" s="111" t="s">
        <v>14</v>
      </c>
      <c r="B21" s="111" t="s">
        <v>16</v>
      </c>
      <c r="C21" s="116">
        <v>0.259433962264151</v>
      </c>
      <c r="D21" s="116">
        <v>0.87211740041928709</v>
      </c>
      <c r="E21" s="116">
        <v>0.28488372093023301</v>
      </c>
      <c r="F21" s="116">
        <v>0.47222222222222199</v>
      </c>
      <c r="G21" s="116">
        <v>0.29976303317535502</v>
      </c>
      <c r="H21" s="116">
        <v>0.40186915887850505</v>
      </c>
      <c r="I21" s="120">
        <v>0.558970099667774</v>
      </c>
      <c r="K21" s="111" t="s">
        <v>14</v>
      </c>
      <c r="L21" s="111" t="s">
        <v>17</v>
      </c>
      <c r="M21" s="116">
        <v>0.72881355932203407</v>
      </c>
      <c r="N21" s="119">
        <v>1</v>
      </c>
    </row>
    <row r="22" spans="1:14" x14ac:dyDescent="0.2">
      <c r="A22" s="111" t="s">
        <v>14</v>
      </c>
      <c r="B22" s="111" t="s">
        <v>17</v>
      </c>
      <c r="C22" s="116">
        <v>8.1210191082802488E-2</v>
      </c>
      <c r="D22" s="116">
        <v>0.60373443983402497</v>
      </c>
      <c r="E22" s="116">
        <v>0.104989604989605</v>
      </c>
      <c r="F22" s="116">
        <v>0.37190082644628097</v>
      </c>
      <c r="G22" s="116">
        <v>0.17666126418152298</v>
      </c>
      <c r="H22" s="116">
        <v>0.16806722689075598</v>
      </c>
      <c r="I22" s="120">
        <v>0.38773388773388801</v>
      </c>
      <c r="K22" s="111" t="s">
        <v>14</v>
      </c>
      <c r="L22" s="111" t="s">
        <v>18</v>
      </c>
      <c r="M22" s="116">
        <v>0.90163934426229497</v>
      </c>
      <c r="N22" s="119">
        <v>1</v>
      </c>
    </row>
    <row r="23" spans="1:14" x14ac:dyDescent="0.2">
      <c r="A23" s="111" t="s">
        <v>14</v>
      </c>
      <c r="B23" s="111" t="s">
        <v>18</v>
      </c>
      <c r="C23" s="116">
        <v>0.49433106575963698</v>
      </c>
      <c r="D23" s="116">
        <v>0.82903225806451597</v>
      </c>
      <c r="E23" s="116">
        <v>0.65261140392908501</v>
      </c>
      <c r="F23" s="116">
        <v>0.64166666666666705</v>
      </c>
      <c r="G23" s="116">
        <v>0.56793893129771</v>
      </c>
      <c r="H23" s="116">
        <v>0.53389830508474601</v>
      </c>
      <c r="I23" s="120">
        <v>0.77192141830378502</v>
      </c>
      <c r="K23" s="111" t="s">
        <v>14</v>
      </c>
      <c r="L23" s="111" t="s">
        <v>19</v>
      </c>
      <c r="M23" s="116">
        <v>0.71875</v>
      </c>
      <c r="N23" s="119">
        <v>1</v>
      </c>
    </row>
    <row r="24" spans="1:14" x14ac:dyDescent="0.2">
      <c r="A24" s="111" t="s">
        <v>14</v>
      </c>
      <c r="B24" s="111" t="s">
        <v>19</v>
      </c>
      <c r="C24" s="116">
        <v>0.24901960784313701</v>
      </c>
      <c r="D24" s="116">
        <v>0.642789820923657</v>
      </c>
      <c r="E24" s="116">
        <v>0.25911251980982597</v>
      </c>
      <c r="F24" s="116">
        <v>0.56000000000000005</v>
      </c>
      <c r="G24" s="116">
        <v>0.295830575777631</v>
      </c>
      <c r="H24" s="116">
        <v>0.45333333333333298</v>
      </c>
      <c r="I24" s="120">
        <v>0.46156893819334399</v>
      </c>
      <c r="K24" s="111" t="s">
        <v>14</v>
      </c>
      <c r="L24" s="111" t="s">
        <v>20</v>
      </c>
      <c r="M24" s="116">
        <v>0.90625</v>
      </c>
      <c r="N24" s="119">
        <v>1</v>
      </c>
    </row>
    <row r="25" spans="1:14" x14ac:dyDescent="0.2">
      <c r="A25" s="111" t="s">
        <v>14</v>
      </c>
      <c r="B25" s="111" t="s">
        <v>20</v>
      </c>
      <c r="C25" s="116">
        <v>0.16019417475728201</v>
      </c>
      <c r="D25" s="116">
        <v>0.76949152542372901</v>
      </c>
      <c r="E25" s="116">
        <v>0.24382207578253698</v>
      </c>
      <c r="F25" s="116">
        <v>0.373493975903614</v>
      </c>
      <c r="G25" s="116">
        <v>0.30170316301703198</v>
      </c>
      <c r="H25" s="116">
        <v>0.22222222222222199</v>
      </c>
      <c r="I25" s="120">
        <v>0.53377265238879701</v>
      </c>
      <c r="K25" s="111" t="s">
        <v>14</v>
      </c>
      <c r="L25" s="111" t="s">
        <v>21</v>
      </c>
      <c r="M25" s="116">
        <v>0.77777777777777801</v>
      </c>
      <c r="N25" s="119">
        <v>1</v>
      </c>
    </row>
    <row r="26" spans="1:14" x14ac:dyDescent="0.2">
      <c r="A26" s="111" t="s">
        <v>14</v>
      </c>
      <c r="B26" s="111" t="s">
        <v>21</v>
      </c>
      <c r="C26" s="116">
        <v>0.28844884488448796</v>
      </c>
      <c r="D26" s="116">
        <v>0.69714285714285695</v>
      </c>
      <c r="E26" s="116">
        <v>0.32341001353179999</v>
      </c>
      <c r="F26" s="116">
        <v>0.79527559055118102</v>
      </c>
      <c r="G26" s="116">
        <v>0.40212342402123397</v>
      </c>
      <c r="H26" s="116">
        <v>0.62992125984252001</v>
      </c>
      <c r="I26" s="120">
        <v>0.49706811005863799</v>
      </c>
      <c r="K26" s="111" t="s">
        <v>14</v>
      </c>
      <c r="L26" s="114" t="s">
        <v>4</v>
      </c>
      <c r="M26" s="117">
        <v>0.82022471910112404</v>
      </c>
      <c r="N26" s="120">
        <v>0.99625468164793995</v>
      </c>
    </row>
    <row r="27" spans="1:14" x14ac:dyDescent="0.2">
      <c r="A27" s="111" t="s">
        <v>14</v>
      </c>
      <c r="B27" s="114" t="s">
        <v>4</v>
      </c>
      <c r="C27" s="117">
        <v>0.28569317174105802</v>
      </c>
      <c r="D27" s="117">
        <v>0.74308833445718092</v>
      </c>
      <c r="E27" s="117">
        <v>0.33893338542684098</v>
      </c>
      <c r="F27" s="117">
        <v>0.55968468468468502</v>
      </c>
      <c r="G27" s="117">
        <v>0.35848493886072197</v>
      </c>
      <c r="H27" s="117">
        <v>0.43572241183162702</v>
      </c>
      <c r="I27" s="120">
        <v>0.54981441687829702</v>
      </c>
      <c r="K27" s="111" t="s">
        <v>28</v>
      </c>
      <c r="L27" s="111" t="s">
        <v>29</v>
      </c>
      <c r="M27" s="116">
        <v>0.939393939393939</v>
      </c>
      <c r="N27" s="119">
        <v>1</v>
      </c>
    </row>
    <row r="28" spans="1:14" x14ac:dyDescent="0.2">
      <c r="A28" s="111" t="s">
        <v>28</v>
      </c>
      <c r="B28" s="111" t="s">
        <v>29</v>
      </c>
      <c r="C28" s="116">
        <v>0.22664359861591699</v>
      </c>
      <c r="D28" s="116">
        <v>0.920595533498759</v>
      </c>
      <c r="E28" s="116">
        <v>0.48537234042553201</v>
      </c>
      <c r="F28" s="116">
        <v>0.585798816568047</v>
      </c>
      <c r="G28" s="116">
        <v>0.447140381282496</v>
      </c>
      <c r="H28" s="116">
        <v>0.351190476190476</v>
      </c>
      <c r="I28" s="120">
        <v>0.78856382978723405</v>
      </c>
      <c r="K28" s="111" t="s">
        <v>28</v>
      </c>
      <c r="L28" s="111" t="s">
        <v>30</v>
      </c>
      <c r="M28" s="116">
        <v>0.91666666666666696</v>
      </c>
      <c r="N28" s="119">
        <v>1</v>
      </c>
    </row>
    <row r="29" spans="1:14" x14ac:dyDescent="0.2">
      <c r="A29" s="111" t="s">
        <v>28</v>
      </c>
      <c r="B29" s="111" t="s">
        <v>30</v>
      </c>
      <c r="C29" s="116">
        <v>0.29646017699115002</v>
      </c>
      <c r="D29" s="116">
        <v>0.918604651162791</v>
      </c>
      <c r="E29" s="116">
        <v>0.43368107302533504</v>
      </c>
      <c r="F29" s="116">
        <v>0.55284552845528501</v>
      </c>
      <c r="G29" s="116">
        <v>0.38409090909090898</v>
      </c>
      <c r="H29" s="116">
        <v>0.36065573770491804</v>
      </c>
      <c r="I29" s="120">
        <v>0.79582712369597597</v>
      </c>
      <c r="K29" s="111" t="s">
        <v>28</v>
      </c>
      <c r="L29" s="111" t="s">
        <v>31</v>
      </c>
      <c r="M29" s="116">
        <v>0.93333333333333302</v>
      </c>
      <c r="N29" s="119">
        <v>1</v>
      </c>
    </row>
    <row r="30" spans="1:14" x14ac:dyDescent="0.2">
      <c r="A30" s="111" t="s">
        <v>28</v>
      </c>
      <c r="B30" s="111" t="s">
        <v>31</v>
      </c>
      <c r="C30" s="116">
        <v>0.83747831116252203</v>
      </c>
      <c r="D30" s="116">
        <v>0.90214067278287502</v>
      </c>
      <c r="E30" s="116">
        <v>0.82264716910386193</v>
      </c>
      <c r="F30" s="116">
        <v>0.87272727272727291</v>
      </c>
      <c r="G30" s="116">
        <v>0.87419918462434498</v>
      </c>
      <c r="H30" s="116">
        <v>0.89634146341463405</v>
      </c>
      <c r="I30" s="120">
        <v>0.86951631046119204</v>
      </c>
      <c r="K30" s="111" t="s">
        <v>28</v>
      </c>
      <c r="L30" s="111" t="s">
        <v>68</v>
      </c>
      <c r="M30" s="116">
        <v>0.95</v>
      </c>
      <c r="N30" s="119">
        <v>1</v>
      </c>
    </row>
    <row r="31" spans="1:14" x14ac:dyDescent="0.2">
      <c r="A31" s="111" t="s">
        <v>28</v>
      </c>
      <c r="B31" s="111" t="s">
        <v>68</v>
      </c>
      <c r="C31" s="116">
        <v>0.57884231536926101</v>
      </c>
      <c r="D31" s="116">
        <v>0.86350148367952495</v>
      </c>
      <c r="E31" s="116">
        <v>0.68842224744608405</v>
      </c>
      <c r="F31" s="116">
        <v>0.62011173184357504</v>
      </c>
      <c r="G31" s="116">
        <v>0.64235764235764192</v>
      </c>
      <c r="H31" s="116">
        <v>0.63068181818181801</v>
      </c>
      <c r="I31" s="120">
        <v>0.78830874006810403</v>
      </c>
      <c r="K31" s="111" t="s">
        <v>28</v>
      </c>
      <c r="L31" s="111" t="s">
        <v>32</v>
      </c>
      <c r="M31" s="116">
        <v>0.93023255813953498</v>
      </c>
      <c r="N31" s="119">
        <v>1</v>
      </c>
    </row>
    <row r="32" spans="1:14" x14ac:dyDescent="0.2">
      <c r="A32" s="111" t="s">
        <v>28</v>
      </c>
      <c r="B32" s="111" t="s">
        <v>32</v>
      </c>
      <c r="C32" s="116">
        <v>0.62296353762606704</v>
      </c>
      <c r="D32" s="116">
        <v>0.95994993742177703</v>
      </c>
      <c r="E32" s="116">
        <v>0.64786585365853699</v>
      </c>
      <c r="F32" s="116">
        <v>0.80519480519480491</v>
      </c>
      <c r="G32" s="116">
        <v>0.65321955003878995</v>
      </c>
      <c r="H32" s="116">
        <v>0.81168831168831201</v>
      </c>
      <c r="I32" s="120">
        <v>0.77693089430894302</v>
      </c>
      <c r="K32" s="111" t="s">
        <v>28</v>
      </c>
      <c r="L32" s="111" t="s">
        <v>33</v>
      </c>
      <c r="M32" s="116">
        <v>0.96062992125984292</v>
      </c>
      <c r="N32" s="119">
        <v>0.98425196850393704</v>
      </c>
    </row>
    <row r="33" spans="1:14" x14ac:dyDescent="0.2">
      <c r="A33" s="111" t="s">
        <v>28</v>
      </c>
      <c r="B33" s="111" t="s">
        <v>33</v>
      </c>
      <c r="C33" s="116">
        <v>0.828332170272156</v>
      </c>
      <c r="D33" s="116">
        <v>0.91803278688524603</v>
      </c>
      <c r="E33" s="116">
        <v>0.80048409405255894</v>
      </c>
      <c r="F33" s="116">
        <v>0.84482758620689691</v>
      </c>
      <c r="G33" s="116">
        <v>0.84480337078651702</v>
      </c>
      <c r="H33" s="116">
        <v>0.86127167630057799</v>
      </c>
      <c r="I33" s="120">
        <v>0.866528354080221</v>
      </c>
      <c r="K33" s="111" t="s">
        <v>28</v>
      </c>
      <c r="L33" s="114" t="s">
        <v>4</v>
      </c>
      <c r="M33" s="117">
        <v>0.94315789473684208</v>
      </c>
      <c r="N33" s="120">
        <v>0.995789473684211</v>
      </c>
    </row>
    <row r="34" spans="1:14" x14ac:dyDescent="0.2">
      <c r="A34" s="111" t="s">
        <v>28</v>
      </c>
      <c r="B34" s="114" t="s">
        <v>4</v>
      </c>
      <c r="C34" s="117">
        <v>0.66065093320993395</v>
      </c>
      <c r="D34" s="117">
        <v>0.91387446908919301</v>
      </c>
      <c r="E34" s="117">
        <v>0.71443241224794607</v>
      </c>
      <c r="F34" s="117">
        <v>0.71887966804979297</v>
      </c>
      <c r="G34" s="117">
        <v>0.71588089330024796</v>
      </c>
      <c r="H34" s="117">
        <v>0.66353187042842199</v>
      </c>
      <c r="I34" s="120">
        <v>0.828043315907394</v>
      </c>
      <c r="K34" s="115" t="s">
        <v>36</v>
      </c>
      <c r="L34" s="112"/>
      <c r="M34" s="118">
        <v>0.91942324003392695</v>
      </c>
      <c r="N34" s="121">
        <v>0.99406276505513103</v>
      </c>
    </row>
    <row r="35" spans="1:14" x14ac:dyDescent="0.2">
      <c r="A35" s="115" t="s">
        <v>36</v>
      </c>
      <c r="B35" s="112"/>
      <c r="C35" s="118">
        <v>0.49089803365092199</v>
      </c>
      <c r="D35" s="118">
        <v>0.85665969745418802</v>
      </c>
      <c r="E35" s="118">
        <v>0.54092545816090698</v>
      </c>
      <c r="F35" s="118">
        <v>0.682040711156918</v>
      </c>
      <c r="G35" s="118">
        <v>0.55363984674329503</v>
      </c>
      <c r="H35" s="118">
        <v>0.63581541688515997</v>
      </c>
      <c r="I35" s="121">
        <v>0.70226258934809493</v>
      </c>
    </row>
  </sheetData>
  <phoneticPr fontId="19" type="noConversion"/>
  <pageMargins left="0.7" right="0.7" top="0.75" bottom="0.75" header="0.3" footer="0.3"/>
  <customProperties>
    <customPr name="_pios_id" r:id="rId1"/>
    <customPr name="CofWorksheetType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C6" sqref="C6"/>
    </sheetView>
  </sheetViews>
  <sheetFormatPr defaultRowHeight="14.25" x14ac:dyDescent="0.2"/>
  <cols>
    <col min="2" max="2" width="7.5" bestFit="1" customWidth="1"/>
    <col min="3" max="3" width="12.25" bestFit="1" customWidth="1"/>
    <col min="4" max="4" width="10.5" bestFit="1" customWidth="1"/>
    <col min="5" max="5" width="12.25" bestFit="1" customWidth="1"/>
    <col min="6" max="6" width="11.125" bestFit="1" customWidth="1"/>
    <col min="7" max="7" width="13.375" bestFit="1" customWidth="1"/>
    <col min="8" max="8" width="10.5" bestFit="1" customWidth="1"/>
    <col min="9" max="9" width="11.625" bestFit="1" customWidth="1"/>
    <col min="10" max="10" width="20.5" bestFit="1" customWidth="1"/>
    <col min="11" max="11" width="14.875" bestFit="1" customWidth="1"/>
    <col min="12" max="12" width="16.5" bestFit="1" customWidth="1"/>
    <col min="13" max="13" width="13.375" bestFit="1" customWidth="1"/>
    <col min="14" max="14" width="13.875" bestFit="1" customWidth="1"/>
    <col min="15" max="17" width="11.625" bestFit="1" customWidth="1"/>
    <col min="18" max="18" width="13.875" bestFit="1" customWidth="1"/>
    <col min="19" max="20" width="13.375" bestFit="1" customWidth="1"/>
    <col min="21" max="22" width="13.875" bestFit="1" customWidth="1"/>
    <col min="23" max="24" width="10.5" bestFit="1" customWidth="1"/>
    <col min="25" max="25" width="9.5" bestFit="1" customWidth="1"/>
    <col min="26" max="26" width="12.375" bestFit="1" customWidth="1"/>
    <col min="27" max="27" width="17.375" bestFit="1" customWidth="1"/>
  </cols>
  <sheetData>
    <row r="1" spans="1:6" ht="21" x14ac:dyDescent="0.2">
      <c r="B1" s="110" t="s">
        <v>108</v>
      </c>
      <c r="C1" s="110" t="s">
        <v>109</v>
      </c>
      <c r="D1" s="110" t="s">
        <v>45</v>
      </c>
      <c r="E1" s="110" t="s">
        <v>96</v>
      </c>
      <c r="F1" s="179" t="s">
        <v>107</v>
      </c>
    </row>
    <row r="2" spans="1:6" x14ac:dyDescent="0.2">
      <c r="B2" s="111" t="s">
        <v>110</v>
      </c>
      <c r="C2" s="113" t="s">
        <v>111</v>
      </c>
      <c r="D2" s="113" t="s">
        <v>5</v>
      </c>
      <c r="E2" s="111" t="s">
        <v>6</v>
      </c>
      <c r="F2" s="180">
        <v>749.86199999999997</v>
      </c>
    </row>
    <row r="3" spans="1:6" x14ac:dyDescent="0.2">
      <c r="B3" s="111" t="s">
        <v>110</v>
      </c>
      <c r="C3" s="113" t="s">
        <v>111</v>
      </c>
      <c r="D3" s="113" t="s">
        <v>5</v>
      </c>
      <c r="E3" s="111" t="s">
        <v>8</v>
      </c>
      <c r="F3" s="180">
        <v>872.29300000000001</v>
      </c>
    </row>
    <row r="4" spans="1:6" x14ac:dyDescent="0.2">
      <c r="B4" s="111" t="s">
        <v>110</v>
      </c>
      <c r="C4" s="113" t="s">
        <v>111</v>
      </c>
      <c r="D4" s="113" t="s">
        <v>5</v>
      </c>
      <c r="E4" s="111" t="s">
        <v>9</v>
      </c>
      <c r="F4" s="180">
        <v>500.40199999999999</v>
      </c>
    </row>
    <row r="5" spans="1:6" x14ac:dyDescent="0.2">
      <c r="B5" s="111" t="s">
        <v>110</v>
      </c>
      <c r="C5" s="113" t="s">
        <v>111</v>
      </c>
      <c r="D5" s="113" t="s">
        <v>5</v>
      </c>
      <c r="E5" s="111" t="s">
        <v>10</v>
      </c>
      <c r="F5" s="180">
        <v>589.69799999999998</v>
      </c>
    </row>
    <row r="6" spans="1:6" x14ac:dyDescent="0.2">
      <c r="B6" s="111" t="s">
        <v>110</v>
      </c>
      <c r="C6" s="113" t="s">
        <v>111</v>
      </c>
      <c r="D6" s="113" t="s">
        <v>5</v>
      </c>
      <c r="E6" s="111" t="s">
        <v>11</v>
      </c>
      <c r="F6" s="180">
        <v>606.6</v>
      </c>
    </row>
    <row r="7" spans="1:6" x14ac:dyDescent="0.2">
      <c r="B7" s="111" t="s">
        <v>110</v>
      </c>
      <c r="C7" s="113" t="s">
        <v>111</v>
      </c>
      <c r="D7" s="113" t="s">
        <v>5</v>
      </c>
      <c r="E7" s="111" t="s">
        <v>12</v>
      </c>
      <c r="F7" s="180">
        <v>1428.79</v>
      </c>
    </row>
    <row r="8" spans="1:6" x14ac:dyDescent="0.2">
      <c r="A8" t="str">
        <f>D8</f>
        <v>哈尔滨营业部</v>
      </c>
      <c r="B8" s="111" t="s">
        <v>110</v>
      </c>
      <c r="C8" s="113" t="s">
        <v>111</v>
      </c>
      <c r="D8" s="113" t="s">
        <v>5</v>
      </c>
      <c r="E8" s="114" t="s">
        <v>4</v>
      </c>
      <c r="F8" s="122">
        <v>4747.6450000000004</v>
      </c>
    </row>
    <row r="9" spans="1:6" x14ac:dyDescent="0.2">
      <c r="B9" s="111" t="s">
        <v>110</v>
      </c>
      <c r="C9" s="113" t="s">
        <v>111</v>
      </c>
      <c r="D9" s="113" t="s">
        <v>22</v>
      </c>
      <c r="E9" s="111" t="s">
        <v>23</v>
      </c>
      <c r="F9" s="180">
        <v>424.798</v>
      </c>
    </row>
    <row r="10" spans="1:6" x14ac:dyDescent="0.2">
      <c r="B10" s="111" t="s">
        <v>110</v>
      </c>
      <c r="C10" s="113" t="s">
        <v>111</v>
      </c>
      <c r="D10" s="113" t="s">
        <v>22</v>
      </c>
      <c r="E10" s="111" t="s">
        <v>24</v>
      </c>
      <c r="F10" s="180">
        <v>1734.4090000000001</v>
      </c>
    </row>
    <row r="11" spans="1:6" x14ac:dyDescent="0.2">
      <c r="B11" s="111" t="s">
        <v>110</v>
      </c>
      <c r="C11" s="113" t="s">
        <v>111</v>
      </c>
      <c r="D11" s="113" t="s">
        <v>22</v>
      </c>
      <c r="E11" s="111" t="s">
        <v>25</v>
      </c>
      <c r="F11" s="180">
        <v>1747.77</v>
      </c>
    </row>
    <row r="12" spans="1:6" x14ac:dyDescent="0.2">
      <c r="B12" s="111" t="s">
        <v>110</v>
      </c>
      <c r="C12" s="113" t="s">
        <v>111</v>
      </c>
      <c r="D12" s="113" t="s">
        <v>22</v>
      </c>
      <c r="E12" s="111" t="s">
        <v>26</v>
      </c>
      <c r="F12" s="180">
        <v>725.6</v>
      </c>
    </row>
    <row r="13" spans="1:6" x14ac:dyDescent="0.2">
      <c r="B13" s="111" t="s">
        <v>110</v>
      </c>
      <c r="C13" s="113" t="s">
        <v>111</v>
      </c>
      <c r="D13" s="113" t="s">
        <v>22</v>
      </c>
      <c r="E13" s="111" t="s">
        <v>27</v>
      </c>
      <c r="F13" s="180">
        <v>2578.3330000000001</v>
      </c>
    </row>
    <row r="14" spans="1:6" x14ac:dyDescent="0.2">
      <c r="A14" t="str">
        <f>D14</f>
        <v>黑西营业部</v>
      </c>
      <c r="B14" s="111" t="s">
        <v>110</v>
      </c>
      <c r="C14" s="113" t="s">
        <v>111</v>
      </c>
      <c r="D14" s="113" t="s">
        <v>22</v>
      </c>
      <c r="E14" s="114" t="s">
        <v>4</v>
      </c>
      <c r="F14" s="122">
        <v>7210.91</v>
      </c>
    </row>
    <row r="15" spans="1:6" x14ac:dyDescent="0.2">
      <c r="B15" s="111" t="s">
        <v>110</v>
      </c>
      <c r="C15" s="113" t="s">
        <v>111</v>
      </c>
      <c r="D15" s="113" t="s">
        <v>14</v>
      </c>
      <c r="E15" s="111" t="s">
        <v>15</v>
      </c>
      <c r="F15" s="180">
        <v>154</v>
      </c>
    </row>
    <row r="16" spans="1:6" x14ac:dyDescent="0.2">
      <c r="B16" s="111" t="s">
        <v>110</v>
      </c>
      <c r="C16" s="113" t="s">
        <v>111</v>
      </c>
      <c r="D16" s="113" t="s">
        <v>14</v>
      </c>
      <c r="E16" s="111" t="s">
        <v>16</v>
      </c>
      <c r="F16" s="180">
        <v>364.39400000000001</v>
      </c>
    </row>
    <row r="17" spans="1:6" x14ac:dyDescent="0.2">
      <c r="B17" s="111" t="s">
        <v>110</v>
      </c>
      <c r="C17" s="113" t="s">
        <v>111</v>
      </c>
      <c r="D17" s="113" t="s">
        <v>14</v>
      </c>
      <c r="E17" s="111" t="s">
        <v>17</v>
      </c>
      <c r="F17" s="180">
        <v>218</v>
      </c>
    </row>
    <row r="18" spans="1:6" x14ac:dyDescent="0.2">
      <c r="B18" s="111" t="s">
        <v>110</v>
      </c>
      <c r="C18" s="113" t="s">
        <v>111</v>
      </c>
      <c r="D18" s="113" t="s">
        <v>14</v>
      </c>
      <c r="E18" s="111" t="s">
        <v>18</v>
      </c>
      <c r="F18" s="180">
        <v>1802.8810000000001</v>
      </c>
    </row>
    <row r="19" spans="1:6" x14ac:dyDescent="0.2">
      <c r="B19" s="111" t="s">
        <v>110</v>
      </c>
      <c r="C19" s="113" t="s">
        <v>111</v>
      </c>
      <c r="D19" s="113" t="s">
        <v>14</v>
      </c>
      <c r="E19" s="111" t="s">
        <v>19</v>
      </c>
      <c r="F19" s="180">
        <v>2310.7139999999999</v>
      </c>
    </row>
    <row r="20" spans="1:6" x14ac:dyDescent="0.2">
      <c r="B20" s="111" t="s">
        <v>110</v>
      </c>
      <c r="C20" s="113" t="s">
        <v>111</v>
      </c>
      <c r="D20" s="113" t="s">
        <v>14</v>
      </c>
      <c r="E20" s="111" t="s">
        <v>20</v>
      </c>
      <c r="F20" s="180">
        <v>371.26400000000001</v>
      </c>
    </row>
    <row r="21" spans="1:6" x14ac:dyDescent="0.2">
      <c r="B21" s="111" t="s">
        <v>110</v>
      </c>
      <c r="C21" s="113" t="s">
        <v>111</v>
      </c>
      <c r="D21" s="113" t="s">
        <v>14</v>
      </c>
      <c r="E21" s="111" t="s">
        <v>21</v>
      </c>
      <c r="F21" s="180">
        <v>2096.8020000000001</v>
      </c>
    </row>
    <row r="22" spans="1:6" x14ac:dyDescent="0.2">
      <c r="A22" t="str">
        <f>D22</f>
        <v>黑东营业部</v>
      </c>
      <c r="B22" s="111" t="s">
        <v>110</v>
      </c>
      <c r="C22" s="113" t="s">
        <v>111</v>
      </c>
      <c r="D22" s="113" t="s">
        <v>14</v>
      </c>
      <c r="E22" s="114" t="s">
        <v>4</v>
      </c>
      <c r="F22" s="122">
        <v>7318.0550000000003</v>
      </c>
    </row>
    <row r="23" spans="1:6" x14ac:dyDescent="0.2">
      <c r="B23" s="111" t="s">
        <v>110</v>
      </c>
      <c r="C23" s="113" t="s">
        <v>111</v>
      </c>
      <c r="D23" s="113" t="s">
        <v>28</v>
      </c>
      <c r="E23" s="111" t="s">
        <v>29</v>
      </c>
      <c r="F23" s="180">
        <v>607.596</v>
      </c>
    </row>
    <row r="24" spans="1:6" x14ac:dyDescent="0.2">
      <c r="B24" s="111" t="s">
        <v>110</v>
      </c>
      <c r="C24" s="113" t="s">
        <v>111</v>
      </c>
      <c r="D24" s="113" t="s">
        <v>28</v>
      </c>
      <c r="E24" s="111" t="s">
        <v>30</v>
      </c>
      <c r="F24" s="180">
        <v>386.83199999999999</v>
      </c>
    </row>
    <row r="25" spans="1:6" x14ac:dyDescent="0.2">
      <c r="B25" s="111" t="s">
        <v>110</v>
      </c>
      <c r="C25" s="113" t="s">
        <v>111</v>
      </c>
      <c r="D25" s="113" t="s">
        <v>28</v>
      </c>
      <c r="E25" s="111" t="s">
        <v>31</v>
      </c>
      <c r="F25" s="180">
        <v>2557.0680000000002</v>
      </c>
    </row>
    <row r="26" spans="1:6" x14ac:dyDescent="0.2">
      <c r="B26" s="111" t="s">
        <v>110</v>
      </c>
      <c r="C26" s="113" t="s">
        <v>111</v>
      </c>
      <c r="D26" s="113" t="s">
        <v>28</v>
      </c>
      <c r="E26" s="111" t="s">
        <v>68</v>
      </c>
      <c r="F26" s="180">
        <v>1923.9949999999999</v>
      </c>
    </row>
    <row r="27" spans="1:6" x14ac:dyDescent="0.2">
      <c r="B27" s="111" t="s">
        <v>110</v>
      </c>
      <c r="C27" s="113" t="s">
        <v>111</v>
      </c>
      <c r="D27" s="113" t="s">
        <v>28</v>
      </c>
      <c r="E27" s="111" t="s">
        <v>32</v>
      </c>
      <c r="F27" s="180">
        <v>1506.778</v>
      </c>
    </row>
    <row r="28" spans="1:6" x14ac:dyDescent="0.2">
      <c r="B28" s="111" t="s">
        <v>110</v>
      </c>
      <c r="C28" s="113" t="s">
        <v>111</v>
      </c>
      <c r="D28" s="113" t="s">
        <v>28</v>
      </c>
      <c r="E28" s="111" t="s">
        <v>33</v>
      </c>
      <c r="F28" s="180">
        <v>1305.403</v>
      </c>
    </row>
    <row r="29" spans="1:6" x14ac:dyDescent="0.2">
      <c r="A29" t="str">
        <f>D29</f>
        <v>黑中营业部</v>
      </c>
      <c r="B29" s="111" t="s">
        <v>110</v>
      </c>
      <c r="C29" s="113" t="s">
        <v>111</v>
      </c>
      <c r="D29" s="113" t="s">
        <v>28</v>
      </c>
      <c r="E29" s="114" t="s">
        <v>4</v>
      </c>
      <c r="F29" s="122">
        <v>8287.6720000000005</v>
      </c>
    </row>
    <row r="30" spans="1:6" x14ac:dyDescent="0.2">
      <c r="B30" s="111" t="s">
        <v>110</v>
      </c>
      <c r="C30" s="113" t="s">
        <v>111</v>
      </c>
      <c r="D30" s="181" t="s">
        <v>4</v>
      </c>
      <c r="E30" s="178"/>
      <c r="F30" s="122">
        <v>27564.281999999999</v>
      </c>
    </row>
    <row r="31" spans="1:6" x14ac:dyDescent="0.2">
      <c r="B31" s="111" t="s">
        <v>110</v>
      </c>
      <c r="C31" s="181" t="s">
        <v>4</v>
      </c>
      <c r="D31" s="176"/>
      <c r="E31" s="178"/>
      <c r="F31" s="122">
        <v>27564.281999999999</v>
      </c>
    </row>
    <row r="32" spans="1:6" x14ac:dyDescent="0.2">
      <c r="B32" s="115" t="s">
        <v>36</v>
      </c>
      <c r="C32" s="177"/>
      <c r="D32" s="177"/>
      <c r="E32" s="112"/>
      <c r="F32" s="123">
        <v>27564.281999999999</v>
      </c>
    </row>
  </sheetData>
  <phoneticPr fontId="19" type="noConversion"/>
  <pageMargins left="0.7" right="0.7" top="0.75" bottom="0.75" header="0.3" footer="0.3"/>
  <customProperties>
    <customPr name="_pios_id" r:id="rId1"/>
    <customPr name="CofWorksheetType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D3" sqref="D3"/>
    </sheetView>
  </sheetViews>
  <sheetFormatPr defaultRowHeight="14.25" x14ac:dyDescent="0.2"/>
  <cols>
    <col min="2" max="3" width="15.5" bestFit="1" customWidth="1"/>
    <col min="4" max="4" width="25" bestFit="1" customWidth="1"/>
    <col min="5" max="5" width="13.875" bestFit="1" customWidth="1"/>
    <col min="6" max="6" width="12.25" bestFit="1" customWidth="1"/>
    <col min="7" max="7" width="13.625" bestFit="1" customWidth="1"/>
    <col min="8" max="8" width="10.5" bestFit="1" customWidth="1"/>
    <col min="9" max="9" width="13.875" bestFit="1" customWidth="1"/>
    <col min="10" max="10" width="13.625" bestFit="1" customWidth="1"/>
    <col min="11" max="11" width="10.5" bestFit="1" customWidth="1"/>
    <col min="12" max="12" width="21.75" bestFit="1" customWidth="1"/>
    <col min="13" max="14" width="25.125" bestFit="1" customWidth="1"/>
    <col min="15" max="15" width="26.75" bestFit="1" customWidth="1"/>
    <col min="16" max="16" width="21.5" bestFit="1" customWidth="1"/>
    <col min="17" max="17" width="16.5" bestFit="1" customWidth="1"/>
    <col min="18" max="18" width="31.5" bestFit="1" customWidth="1"/>
    <col min="19" max="19" width="35.5" bestFit="1" customWidth="1"/>
    <col min="20" max="20" width="34.875" bestFit="1" customWidth="1"/>
    <col min="21" max="21" width="31.25" bestFit="1" customWidth="1"/>
    <col min="22" max="22" width="12.25" bestFit="1" customWidth="1"/>
    <col min="23" max="25" width="7.5" bestFit="1" customWidth="1"/>
    <col min="26" max="26" width="10.5" bestFit="1" customWidth="1"/>
    <col min="27" max="27" width="7.5" bestFit="1" customWidth="1"/>
    <col min="28" max="28" width="10.5" bestFit="1" customWidth="1"/>
    <col min="29" max="30" width="13.625" bestFit="1" customWidth="1"/>
    <col min="31" max="31" width="16.875" bestFit="1" customWidth="1"/>
    <col min="32" max="32" width="22.25" bestFit="1" customWidth="1"/>
    <col min="33" max="33" width="21.875" bestFit="1" customWidth="1"/>
    <col min="34" max="34" width="28.375" bestFit="1" customWidth="1"/>
    <col min="35" max="35" width="28.75" bestFit="1" customWidth="1"/>
    <col min="36" max="36" width="34.875" bestFit="1" customWidth="1"/>
    <col min="37" max="37" width="31.75" bestFit="1" customWidth="1"/>
    <col min="38" max="38" width="32" bestFit="1" customWidth="1"/>
    <col min="39" max="39" width="26.5" bestFit="1" customWidth="1"/>
    <col min="40" max="40" width="31.5" bestFit="1" customWidth="1"/>
    <col min="41" max="42" width="7.5" bestFit="1" customWidth="1"/>
    <col min="43" max="43" width="16.875" bestFit="1" customWidth="1"/>
    <col min="44" max="45" width="10.5" bestFit="1" customWidth="1"/>
  </cols>
  <sheetData>
    <row r="1" spans="1:4" x14ac:dyDescent="0.2">
      <c r="B1" s="110" t="s">
        <v>3</v>
      </c>
      <c r="C1" s="110" t="s">
        <v>38</v>
      </c>
      <c r="D1" s="111" t="s">
        <v>64</v>
      </c>
    </row>
    <row r="2" spans="1:4" x14ac:dyDescent="0.2">
      <c r="A2" t="str">
        <f>C2</f>
        <v>宾县外埠所</v>
      </c>
      <c r="B2" s="111" t="s">
        <v>5</v>
      </c>
      <c r="C2" s="111" t="s">
        <v>6</v>
      </c>
      <c r="D2" s="180">
        <v>2.0830000000000002</v>
      </c>
    </row>
    <row r="3" spans="1:4" x14ac:dyDescent="0.2">
      <c r="A3" t="str">
        <f t="shared" ref="A3:A31" si="0">C3</f>
        <v>哈尔滨OT所</v>
      </c>
      <c r="B3" s="111" t="s">
        <v>5</v>
      </c>
      <c r="C3" s="111" t="s">
        <v>7</v>
      </c>
      <c r="D3" s="180">
        <v>2.7069999999999999</v>
      </c>
    </row>
    <row r="4" spans="1:4" x14ac:dyDescent="0.2">
      <c r="A4" t="str">
        <f t="shared" si="0"/>
        <v>哈尔滨城区北所</v>
      </c>
      <c r="B4" s="111" t="s">
        <v>5</v>
      </c>
      <c r="C4" s="111" t="s">
        <v>8</v>
      </c>
      <c r="D4" s="180">
        <v>1.538</v>
      </c>
    </row>
    <row r="5" spans="1:4" x14ac:dyDescent="0.2">
      <c r="A5" t="str">
        <f t="shared" si="0"/>
        <v>哈尔滨综合东所</v>
      </c>
      <c r="B5" s="111" t="s">
        <v>5</v>
      </c>
      <c r="C5" s="111" t="s">
        <v>9</v>
      </c>
      <c r="D5" s="180">
        <v>1.0669999999999999</v>
      </c>
    </row>
    <row r="6" spans="1:4" x14ac:dyDescent="0.2">
      <c r="A6" t="str">
        <f t="shared" si="0"/>
        <v>哈尔滨综合西所</v>
      </c>
      <c r="B6" s="111" t="s">
        <v>5</v>
      </c>
      <c r="C6" s="111" t="s">
        <v>10</v>
      </c>
      <c r="D6" s="180">
        <v>0.97799999999999998</v>
      </c>
    </row>
    <row r="7" spans="1:4" x14ac:dyDescent="0.2">
      <c r="A7" t="str">
        <f t="shared" si="0"/>
        <v>哈尔滨综合中所</v>
      </c>
      <c r="B7" s="111" t="s">
        <v>5</v>
      </c>
      <c r="C7" s="111" t="s">
        <v>11</v>
      </c>
      <c r="D7" s="180">
        <v>2.2570000000000001</v>
      </c>
    </row>
    <row r="8" spans="1:4" x14ac:dyDescent="0.2">
      <c r="A8" t="str">
        <f t="shared" si="0"/>
        <v>五常外埠所</v>
      </c>
      <c r="B8" s="111" t="s">
        <v>5</v>
      </c>
      <c r="C8" s="111" t="s">
        <v>12</v>
      </c>
      <c r="D8" s="180">
        <v>2.61</v>
      </c>
    </row>
    <row r="9" spans="1:4" x14ac:dyDescent="0.2">
      <c r="A9" t="str">
        <f>B9</f>
        <v>哈尔滨营业部</v>
      </c>
      <c r="B9" s="111" t="s">
        <v>5</v>
      </c>
      <c r="C9" s="114" t="s">
        <v>4</v>
      </c>
      <c r="D9" s="122">
        <v>13.24</v>
      </c>
    </row>
    <row r="10" spans="1:4" x14ac:dyDescent="0.2">
      <c r="A10" t="str">
        <f t="shared" si="0"/>
        <v>鹤岗城区所</v>
      </c>
      <c r="B10" s="111" t="s">
        <v>14</v>
      </c>
      <c r="C10" s="111" t="s">
        <v>15</v>
      </c>
      <c r="D10" s="180">
        <v>0.40500000000000003</v>
      </c>
    </row>
    <row r="11" spans="1:4" x14ac:dyDescent="0.2">
      <c r="A11" t="str">
        <f t="shared" si="0"/>
        <v>鸡西城区所</v>
      </c>
      <c r="B11" s="111" t="s">
        <v>14</v>
      </c>
      <c r="C11" s="111" t="s">
        <v>16</v>
      </c>
      <c r="D11" s="180">
        <v>0.93</v>
      </c>
    </row>
    <row r="12" spans="1:4" x14ac:dyDescent="0.2">
      <c r="A12" t="str">
        <f t="shared" si="0"/>
        <v>佳木斯城区所</v>
      </c>
      <c r="B12" s="111" t="s">
        <v>14</v>
      </c>
      <c r="C12" s="111" t="s">
        <v>17</v>
      </c>
      <c r="D12" s="180">
        <v>0.56799999999999995</v>
      </c>
    </row>
    <row r="13" spans="1:4" x14ac:dyDescent="0.2">
      <c r="A13" t="str">
        <f t="shared" si="0"/>
        <v>牡丹江城区所</v>
      </c>
      <c r="B13" s="111" t="s">
        <v>14</v>
      </c>
      <c r="C13" s="111" t="s">
        <v>18</v>
      </c>
      <c r="D13" s="180">
        <v>1.6739999999999999</v>
      </c>
    </row>
    <row r="14" spans="1:4" x14ac:dyDescent="0.2">
      <c r="A14" t="str">
        <f t="shared" si="0"/>
        <v>七台河外埠所</v>
      </c>
      <c r="B14" s="111" t="s">
        <v>14</v>
      </c>
      <c r="C14" s="111" t="s">
        <v>19</v>
      </c>
      <c r="D14" s="180">
        <v>2.0619999999999998</v>
      </c>
    </row>
    <row r="15" spans="1:4" x14ac:dyDescent="0.2">
      <c r="A15" t="str">
        <f t="shared" si="0"/>
        <v>双鸭山城区所</v>
      </c>
      <c r="B15" s="111" t="s">
        <v>14</v>
      </c>
      <c r="C15" s="111" t="s">
        <v>20</v>
      </c>
      <c r="D15" s="180">
        <v>0.42199999999999999</v>
      </c>
    </row>
    <row r="16" spans="1:4" x14ac:dyDescent="0.2">
      <c r="A16" t="str">
        <f t="shared" si="0"/>
        <v>双鸭山外埠所</v>
      </c>
      <c r="B16" s="111" t="s">
        <v>14</v>
      </c>
      <c r="C16" s="111" t="s">
        <v>21</v>
      </c>
      <c r="D16" s="180">
        <v>1.9390000000000001</v>
      </c>
    </row>
    <row r="17" spans="1:4" x14ac:dyDescent="0.2">
      <c r="A17" t="str">
        <f>B17</f>
        <v>黑东营业部</v>
      </c>
      <c r="B17" s="111" t="s">
        <v>14</v>
      </c>
      <c r="C17" s="114" t="s">
        <v>4</v>
      </c>
      <c r="D17" s="122">
        <v>8</v>
      </c>
    </row>
    <row r="18" spans="1:4" x14ac:dyDescent="0.2">
      <c r="A18" t="str">
        <f t="shared" si="0"/>
        <v>黑龙电商所(DY)</v>
      </c>
      <c r="B18" s="111" t="s">
        <v>34</v>
      </c>
      <c r="C18" s="111" t="s">
        <v>35</v>
      </c>
      <c r="D18" s="180">
        <v>0.16</v>
      </c>
    </row>
    <row r="19" spans="1:4" x14ac:dyDescent="0.2">
      <c r="A19" t="str">
        <f t="shared" si="0"/>
        <v>结果</v>
      </c>
      <c r="B19" s="111" t="s">
        <v>34</v>
      </c>
      <c r="C19" s="114" t="s">
        <v>4</v>
      </c>
      <c r="D19" s="122">
        <v>0.16</v>
      </c>
    </row>
    <row r="20" spans="1:4" x14ac:dyDescent="0.2">
      <c r="A20" t="str">
        <f t="shared" si="0"/>
        <v>海拉尔城区所</v>
      </c>
      <c r="B20" s="111" t="s">
        <v>22</v>
      </c>
      <c r="C20" s="111" t="s">
        <v>23</v>
      </c>
      <c r="D20" s="180">
        <v>0.86299999999999999</v>
      </c>
    </row>
    <row r="21" spans="1:4" x14ac:dyDescent="0.2">
      <c r="A21" t="str">
        <f t="shared" si="0"/>
        <v>呼盟外埠所</v>
      </c>
      <c r="B21" s="111" t="s">
        <v>22</v>
      </c>
      <c r="C21" s="111" t="s">
        <v>24</v>
      </c>
      <c r="D21" s="180">
        <v>2.4329999999999998</v>
      </c>
    </row>
    <row r="22" spans="1:4" x14ac:dyDescent="0.2">
      <c r="A22" t="str">
        <f t="shared" si="0"/>
        <v>龙江外埠所</v>
      </c>
      <c r="B22" s="111" t="s">
        <v>22</v>
      </c>
      <c r="C22" s="111" t="s">
        <v>25</v>
      </c>
      <c r="D22" s="180">
        <v>2.2389999999999999</v>
      </c>
    </row>
    <row r="23" spans="1:4" x14ac:dyDescent="0.2">
      <c r="A23" t="str">
        <f t="shared" si="0"/>
        <v>齐齐哈尔城区所</v>
      </c>
      <c r="B23" s="111" t="s">
        <v>22</v>
      </c>
      <c r="C23" s="111" t="s">
        <v>26</v>
      </c>
      <c r="D23" s="180">
        <v>0.96399999999999997</v>
      </c>
    </row>
    <row r="24" spans="1:4" x14ac:dyDescent="0.2">
      <c r="A24" t="str">
        <f t="shared" si="0"/>
        <v>兴安外埠所</v>
      </c>
      <c r="B24" s="111" t="s">
        <v>22</v>
      </c>
      <c r="C24" s="111" t="s">
        <v>27</v>
      </c>
      <c r="D24" s="180">
        <v>2.5009999999999999</v>
      </c>
    </row>
    <row r="25" spans="1:4" x14ac:dyDescent="0.2">
      <c r="A25" t="str">
        <f>B25</f>
        <v>黑西营业部</v>
      </c>
      <c r="B25" s="111" t="s">
        <v>22</v>
      </c>
      <c r="C25" s="114" t="s">
        <v>4</v>
      </c>
      <c r="D25" s="122">
        <v>9</v>
      </c>
    </row>
    <row r="26" spans="1:4" x14ac:dyDescent="0.2">
      <c r="A26" t="str">
        <f t="shared" si="0"/>
        <v>大庆城区东所</v>
      </c>
      <c r="B26" s="111" t="s">
        <v>28</v>
      </c>
      <c r="C26" s="111" t="s">
        <v>29</v>
      </c>
      <c r="D26" s="180">
        <v>1.0920000000000001</v>
      </c>
    </row>
    <row r="27" spans="1:4" x14ac:dyDescent="0.2">
      <c r="A27" t="str">
        <f t="shared" si="0"/>
        <v>大庆城区西所</v>
      </c>
      <c r="B27" s="111" t="s">
        <v>28</v>
      </c>
      <c r="C27" s="111" t="s">
        <v>30</v>
      </c>
      <c r="D27" s="180">
        <v>0.624</v>
      </c>
    </row>
    <row r="28" spans="1:4" x14ac:dyDescent="0.2">
      <c r="A28" t="str">
        <f t="shared" si="0"/>
        <v>海伦外埠所</v>
      </c>
      <c r="B28" s="111" t="s">
        <v>28</v>
      </c>
      <c r="C28" s="111" t="s">
        <v>31</v>
      </c>
      <c r="D28" s="180">
        <v>1.284</v>
      </c>
    </row>
    <row r="29" spans="1:4" x14ac:dyDescent="0.2">
      <c r="A29" t="str">
        <f t="shared" si="0"/>
        <v>绥化外埠所</v>
      </c>
      <c r="B29" s="111" t="s">
        <v>28</v>
      </c>
      <c r="C29" s="111" t="s">
        <v>68</v>
      </c>
      <c r="D29" s="180">
        <v>1.8460000000000001</v>
      </c>
    </row>
    <row r="30" spans="1:4" x14ac:dyDescent="0.2">
      <c r="A30" t="str">
        <f t="shared" si="0"/>
        <v>伊春外埠所</v>
      </c>
      <c r="B30" s="111" t="s">
        <v>28</v>
      </c>
      <c r="C30" s="111" t="s">
        <v>32</v>
      </c>
      <c r="D30" s="180">
        <v>0.99399999999999999</v>
      </c>
    </row>
    <row r="31" spans="1:4" x14ac:dyDescent="0.2">
      <c r="A31" t="str">
        <f t="shared" si="0"/>
        <v>肇东外埠所</v>
      </c>
      <c r="B31" s="111" t="s">
        <v>28</v>
      </c>
      <c r="C31" s="111" t="s">
        <v>33</v>
      </c>
      <c r="D31" s="180">
        <v>1.76</v>
      </c>
    </row>
    <row r="32" spans="1:4" x14ac:dyDescent="0.2">
      <c r="A32" t="str">
        <f>B32</f>
        <v>黑中营业部</v>
      </c>
      <c r="B32" s="111" t="s">
        <v>28</v>
      </c>
      <c r="C32" s="114" t="s">
        <v>4</v>
      </c>
      <c r="D32" s="122">
        <v>7.6</v>
      </c>
    </row>
    <row r="33" spans="2:4" x14ac:dyDescent="0.2">
      <c r="B33" s="115" t="s">
        <v>36</v>
      </c>
      <c r="C33" s="112"/>
      <c r="D33" s="123">
        <v>38</v>
      </c>
    </row>
  </sheetData>
  <phoneticPr fontId="19" type="noConversion"/>
  <pageMargins left="0.7" right="0.7" top="0.75" bottom="0.75" header="0.3" footer="0.3"/>
  <customProperties>
    <customPr name="_pios_id" r:id="rId1"/>
    <customPr name="CofWorksheetTyp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2.8.900.96586</Revision>
</Application>
</file>

<file path=customXml/itemProps1.xml><?xml version="1.0" encoding="utf-8"?>
<ds:datastoreItem xmlns:ds="http://schemas.openxmlformats.org/officeDocument/2006/customXml" ds:itemID="{9A35A656-54D8-4F36-ADCA-56B8DEBD0A53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6</vt:i4>
      </vt:variant>
    </vt:vector>
  </HeadingPairs>
  <TitlesOfParts>
    <vt:vector size="15" baseType="lpstr">
      <vt:lpstr>1</vt:lpstr>
      <vt:lpstr>Sheet4</vt:lpstr>
      <vt:lpstr>部所排名</vt:lpstr>
      <vt:lpstr>基础表</vt:lpstr>
      <vt:lpstr>2</vt:lpstr>
      <vt:lpstr>4</vt:lpstr>
      <vt:lpstr>3</vt:lpstr>
      <vt:lpstr>Sheet1</vt:lpstr>
      <vt:lpstr>Sheet3</vt:lpstr>
      <vt:lpstr>SAPCrosstab1</vt:lpstr>
      <vt:lpstr>SAPCrosstab2</vt:lpstr>
      <vt:lpstr>SAPCrosstab3</vt:lpstr>
      <vt:lpstr>SAPCrosstab4</vt:lpstr>
      <vt:lpstr>SAPCrosstab5</vt:lpstr>
      <vt:lpstr>SAPCrosstab6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1L1B 于军</dc:creator>
  <cp:lastModifiedBy>1L1B 于军</cp:lastModifiedBy>
  <dcterms:created xsi:type="dcterms:W3CDTF">2025-02-10T08:32:35Z</dcterms:created>
  <dcterms:modified xsi:type="dcterms:W3CDTF">2025-06-09T05:53:53Z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